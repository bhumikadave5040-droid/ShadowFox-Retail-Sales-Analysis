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16d4b185e35ffc/Desktop/ShadowFox-Retail-Sales-Analysis/"/>
    </mc:Choice>
  </mc:AlternateContent>
  <xr:revisionPtr revIDLastSave="1" documentId="8_{958A47D4-8EE1-403A-9E6F-D53C6F72865F}" xr6:coauthVersionLast="47" xr6:coauthVersionMax="47" xr10:uidLastSave="{3843CDA3-F8D8-432E-A075-01E84B833E6A}"/>
  <bookViews>
    <workbookView xWindow="-108" yWindow="-108" windowWidth="23256" windowHeight="12456" activeTab="2" xr2:uid="{1CFBDDD9-5B10-407F-9276-C5D5EE4F2D4D}"/>
  </bookViews>
  <sheets>
    <sheet name="Dashboard" sheetId="5" r:id="rId1"/>
    <sheet name="Pivot_tables" sheetId="3" r:id="rId2"/>
    <sheet name="Retail_Sales_Data.xlxs" sheetId="2" r:id="rId3"/>
    <sheet name="summary" sheetId="1" r:id="rId4"/>
  </sheets>
  <definedNames>
    <definedName name="ExternalData_1" localSheetId="2" hidden="1">'Retail_Sales_Data.xlxs'!$A$1:$I$81</definedName>
  </definedName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5" l="1"/>
  <c r="F3" i="5"/>
  <c r="D3" i="5"/>
  <c r="A3" i="5"/>
  <c r="B6" i="1"/>
  <c r="B5" i="1"/>
  <c r="B4" i="1"/>
  <c r="B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12040E-3158-4A58-8C40-6A982C6EED0E}" keepAlive="1" name="Query - Retail_Sales_Data" description="Connection to the 'Retail_Sales_Data' query in the workbook." type="5" refreshedVersion="8" background="1" saveData="1">
    <dbPr connection="Provider=Microsoft.Mashup.OleDb.1;Data Source=$Workbook$;Location=Retail_Sales_Data;Extended Properties=&quot;&quot;" command="SELECT * FROM [Retail_Sales_Data]"/>
  </connection>
</connections>
</file>

<file path=xl/sharedStrings.xml><?xml version="1.0" encoding="utf-8"?>
<sst xmlns="http://schemas.openxmlformats.org/spreadsheetml/2006/main" count="467" uniqueCount="152">
  <si>
    <t>Order ID</t>
  </si>
  <si>
    <t>Order Date</t>
  </si>
  <si>
    <t>Region</t>
  </si>
  <si>
    <t>Sales Channel</t>
  </si>
  <si>
    <t>Category</t>
  </si>
  <si>
    <t>Product</t>
  </si>
  <si>
    <t>Quantity</t>
  </si>
  <si>
    <t>Unit Price (₹)</t>
  </si>
  <si>
    <t>Sales</t>
  </si>
  <si>
    <t>ORD-001</t>
  </si>
  <si>
    <t>South</t>
  </si>
  <si>
    <t>Online</t>
  </si>
  <si>
    <t>Electronics</t>
  </si>
  <si>
    <t>Wireless Mouse</t>
  </si>
  <si>
    <t>ORD-002</t>
  </si>
  <si>
    <t>North</t>
  </si>
  <si>
    <t>Headphones</t>
  </si>
  <si>
    <t>ORD-003</t>
  </si>
  <si>
    <t>West</t>
  </si>
  <si>
    <t>ORD-004</t>
  </si>
  <si>
    <t>ORD-005</t>
  </si>
  <si>
    <t>East</t>
  </si>
  <si>
    <t>Store</t>
  </si>
  <si>
    <t>ORD-006</t>
  </si>
  <si>
    <t>Keyboard</t>
  </si>
  <si>
    <t>ORD-007</t>
  </si>
  <si>
    <t>Unknown</t>
  </si>
  <si>
    <t>Home &amp; Kitchen</t>
  </si>
  <si>
    <t>Storage Box</t>
  </si>
  <si>
    <t>ORD-008</t>
  </si>
  <si>
    <t>Stationery</t>
  </si>
  <si>
    <t>Notebook Set</t>
  </si>
  <si>
    <t>ORD-009</t>
  </si>
  <si>
    <t>Water Bottle</t>
  </si>
  <si>
    <t>ORD-010</t>
  </si>
  <si>
    <t>ORD-011</t>
  </si>
  <si>
    <t>ORD-012</t>
  </si>
  <si>
    <t>Desk Organizer</t>
  </si>
  <si>
    <t>ORD-013</t>
  </si>
  <si>
    <t>Accessories</t>
  </si>
  <si>
    <t>Backpack</t>
  </si>
  <si>
    <t>ORD-014</t>
  </si>
  <si>
    <t>ORD-015</t>
  </si>
  <si>
    <t>ORD-016</t>
  </si>
  <si>
    <t>ORD-017</t>
  </si>
  <si>
    <t>ORD-018</t>
  </si>
  <si>
    <t>Pen Pack</t>
  </si>
  <si>
    <t>ORD-019</t>
  </si>
  <si>
    <t>ORD-020</t>
  </si>
  <si>
    <t>ORD-021</t>
  </si>
  <si>
    <t>ORD-022</t>
  </si>
  <si>
    <t>Mixer Grinder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</si>
  <si>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</si>
  <si>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</si>
  <si>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</si>
  <si>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</si>
  <si>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</si>
  <si>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</si>
  <si>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</si>
  <si>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</si>
  <si>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</si>
  <si>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</si>
  <si>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</si>
  <si>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</si>
  <si>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</si>
  <si>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</si>
  <si>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</si>
  <si>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</si>
  <si>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</si>
  <si>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</si>
  <si>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Phone Case</t>
  </si>
  <si>
    <t>ORD-041</t>
  </si>
  <si>
    <t>ORD-042</t>
  </si>
  <si>
    <t>ORD-043</t>
  </si>
  <si>
    <t>ORD-044</t>
  </si>
  <si>
    <t>USB Cable</t>
  </si>
  <si>
    <t>ORD-045</t>
  </si>
  <si>
    <t>ORD-046</t>
  </si>
  <si>
    <t>ORD-047</t>
  </si>
  <si>
    <t>ORD-048</t>
  </si>
  <si>
    <t>ORD-049</t>
  </si>
  <si>
    <t>ORD-050</t>
  </si>
  <si>
    <t>ORD-051</t>
  </si>
  <si>
    <t>ORD-052</t>
  </si>
  <si>
    <t>ORD-053</t>
  </si>
  <si>
    <t>ORD-054</t>
  </si>
  <si>
    <t>ORD-055</t>
  </si>
  <si>
    <t>ORD-056</t>
  </si>
  <si>
    <t>ORD-057</t>
  </si>
  <si>
    <t>ORD-058</t>
  </si>
  <si>
    <t>ORD-059</t>
  </si>
  <si>
    <t>ORD-060</t>
  </si>
  <si>
    <t>ORD-061</t>
  </si>
  <si>
    <t>ORD-062</t>
  </si>
  <si>
    <t>ORD-063</t>
  </si>
  <si>
    <t>ORD-064</t>
  </si>
  <si>
    <t>ORD-065</t>
  </si>
  <si>
    <t>ORD-066</t>
  </si>
  <si>
    <t>ORD-067</t>
  </si>
  <si>
    <t>ORD-068</t>
  </si>
  <si>
    <t>ORD-069</t>
  </si>
  <si>
    <t>ORD-070</t>
  </si>
  <si>
    <t>ORD-071</t>
  </si>
  <si>
    <t>ORD-072</t>
  </si>
  <si>
    <t>ORD-073</t>
  </si>
  <si>
    <t>ORD-074</t>
  </si>
  <si>
    <t>ORD-075</t>
  </si>
  <si>
    <t>ORD-076</t>
  </si>
  <si>
    <t>ORD-077</t>
  </si>
  <si>
    <t>ORD-078</t>
  </si>
  <si>
    <t>ORD-079</t>
  </si>
  <si>
    <t>ORD-080</t>
  </si>
  <si>
    <t>Retail sales analysis</t>
  </si>
  <si>
    <t xml:space="preserve">Total Revenue </t>
  </si>
  <si>
    <t>Total Orders</t>
  </si>
  <si>
    <t>Total Quantity Sold</t>
  </si>
  <si>
    <t>Average Order Value</t>
  </si>
  <si>
    <t>Column1</t>
  </si>
  <si>
    <t>Column2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</si>
  <si>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</si>
  <si>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</si>
  <si>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</si>
  <si>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</si>
  <si>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</si>
  <si>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</si>
  <si>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</si>
  <si>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</si>
  <si>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</si>
  <si>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</si>
  <si>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</si>
  <si>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</si>
  <si>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</si>
  <si>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</si>
  <si>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</si>
  <si>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RETAIL SALES ANALYSIS DASHBOARD</t>
  </si>
  <si>
    <t>Total Revenue</t>
  </si>
  <si>
    <t>Monthly Sales</t>
  </si>
  <si>
    <t>October recorded the highest monthly sales at ₹28,395.91.</t>
  </si>
  <si>
    <t>September recorded the lowest monthly sales at ₹2,426.84.</t>
  </si>
  <si>
    <t>Sales varied considerably throughout the year.</t>
  </si>
  <si>
    <t>Category Performance</t>
  </si>
  <si>
    <t>Electronics generated the highest sales at ₹92,814.21.</t>
  </si>
  <si>
    <t>Stationery generated the lowest sales at ₹16,534.95.</t>
  </si>
  <si>
    <t>Regional Performance</t>
  </si>
  <si>
    <t>South recorded the highest regional sales at ₹51,948.05.</t>
  </si>
  <si>
    <t>East followed closely at ₹50,490.49.</t>
  </si>
  <si>
    <t>Suggested Business Action</t>
  </si>
  <si>
    <t>Investigate the sharp drop in September sales.</t>
  </si>
  <si>
    <t>Examine which Electronics products contribute most to revenue.</t>
  </si>
  <si>
    <t>Improve the collection of region information so fewer sales records have an unknown region.</t>
  </si>
  <si>
    <t>Key Business Insights</t>
  </si>
  <si>
    <t>₹8,679.88 in sales is assigned to Unknown because the region information was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</si>
</sst>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1" applyNumberFormat="0" applyFill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2" fillId="2" borderId="0" xfId="1"/>
    <xf numFmtId="0" fontId="1" fillId="3" borderId="0" xfId="2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Alignment="1">
      <alignment vertical="center" wrapText="1"/>
    </xf>
    <xf numFmtId="0" fontId="1" fillId="6" borderId="0" xfId="6"/>
    <xf numFmtId="0" fontId="3" fillId="0" borderId="1" xfId="3"/>
    <xf numFmtId="0" fontId="0" fillId="0" borderId="0" xfId="0" applyAlignment="1">
      <alignment horizontal="left" vertical="center" indent="1"/>
    </xf>
    <xf numFmtId="0" fontId="2" fillId="4" borderId="0" xfId="4"/>
    <xf numFmtId="0" fontId="1" fillId="5" borderId="0" xfId="5" applyAlignment="1">
      <alignment horizontal="left" vertical="center" indent="1"/>
    </xf>
    <xf numFmtId="0" fontId="1" fillId="5" borderId="0" xfId="5"/>
    <xf numFmtId="0" fontId="5" fillId="4" borderId="0" xfId="4" applyFont="1"/>
  </cellXfs>
  <cellStyles count="7">
    <cellStyle name="20% - Accent1" xfId="5" builtinId="30"/>
    <cellStyle name="20% - Accent4" xfId="2" builtinId="42"/>
    <cellStyle name="60% - Accent5" xfId="6" builtinId="48"/>
    <cellStyle name="Accent1" xfId="4" builtinId="29"/>
    <cellStyle name="Accent4" xfId="1" builtinId="41"/>
    <cellStyle name="Heading 1" xfId="3" builtinId="16"/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[Retail_Sales.xlsx]Pivot_tables!PivotTable2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Pivot_tables!$B$4:$B$16</c:f>
              <c:numCache>
                <c:formatCode>General</c:formatCode>
                <c:ptCount val="12"/>
                <c:pt idx="0">
                  <c:v>16320.87</c:v>
                </c:pt>
                <c:pt idx="1">
                  <c:v>10838.169999999998</c:v>
                </c:pt>
                <c:pt idx="2">
                  <c:v>14448.52</c:v>
                </c:pt>
                <c:pt idx="3">
                  <c:v>11213.48</c:v>
                </c:pt>
                <c:pt idx="4">
                  <c:v>24056.319999999996</c:v>
                </c:pt>
                <c:pt idx="5">
                  <c:v>15917.230000000001</c:v>
                </c:pt>
                <c:pt idx="6">
                  <c:v>19186.43</c:v>
                </c:pt>
                <c:pt idx="7">
                  <c:v>23400.280000000002</c:v>
                </c:pt>
                <c:pt idx="8">
                  <c:v>2426.84</c:v>
                </c:pt>
                <c:pt idx="9">
                  <c:v>28395.91</c:v>
                </c:pt>
                <c:pt idx="10">
                  <c:v>21561.219999999998</c:v>
                </c:pt>
                <c:pt idx="11">
                  <c:v>10678.320000000002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7-41A3-8EE1-3A503AE1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4179520"/>
        <c:axId val="336921712"/>
      </c:barChart>
      <c:catAx>
        <c:axId val="354179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21712"/>
        <c:crosses val="autoZero"/>
        <c:auto val="1"/>
        <c:lblAlgn val="ctr"/>
        <c:lblOffset val="100"/>
        <c:noMultiLvlLbl val="0"/>
      </c:catAx>
      <c:valAx>
        <c:axId val="3369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[Retail_Sales.xlsx]Pivot_tables!PivotTable6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Category-wise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Pivot_tables!$A$19:$A$23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Stationery</c:v>
                </c:pt>
              </c:strCache>
            </c:strRef>
          </c:cat>
          <c:val>
            <c:numRef>
              <c:f>Pivot_tables!$B$19:$B$23</c:f>
              <c:numCache>
                <c:formatCode>General</c:formatCode>
                <c:ptCount val="4"/>
                <c:pt idx="0">
                  <c:v>40367.49</c:v>
                </c:pt>
                <c:pt idx="1">
                  <c:v>92814.210000000021</c:v>
                </c:pt>
                <c:pt idx="2">
                  <c:v>48726.94000000001</c:v>
                </c:pt>
                <c:pt idx="3">
                  <c:v>16534.950000000004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5-4022-BE27-9A6F8A5E0F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0545008"/>
        <c:axId val="1516127120"/>
      </c:barChart>
      <c:catAx>
        <c:axId val="49054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27120"/>
        <c:crosses val="autoZero"/>
        <c:auto val="1"/>
        <c:lblAlgn val="ctr"/>
        <c:lblOffset val="100"/>
        <c:noMultiLvlLbl val="0"/>
      </c:catAx>
      <c:valAx>
        <c:axId val="15161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4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[Retail_Sales.xlsx]Pivot_tables!PivotTable7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Region-wise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Pivot_tables!$A$36:$A$41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Pivot_tables!$B$36:$B$41</c:f>
              <c:numCache>
                <c:formatCode>General</c:formatCode>
                <c:ptCount val="5"/>
                <c:pt idx="0">
                  <c:v>51948.05000000001</c:v>
                </c:pt>
                <c:pt idx="1">
                  <c:v>50490.49</c:v>
                </c:pt>
                <c:pt idx="2">
                  <c:v>45206.53</c:v>
                </c:pt>
                <c:pt idx="3">
                  <c:v>42118.639999999992</c:v>
                </c:pt>
                <c:pt idx="4">
                  <c:v>8679.8799999999992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3-437A-BA74-4A40A566E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2404112"/>
        <c:axId val="1705598448"/>
      </c:barChart>
      <c:catAx>
        <c:axId val="152240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98448"/>
        <c:crosses val="autoZero"/>
        <c:auto val="1"/>
        <c:lblAlgn val="ctr"/>
        <c:lblOffset val="100"/>
        <c:noMultiLvlLbl val="0"/>
      </c:catAx>
      <c:valAx>
        <c:axId val="17055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saLES</a:t>
                </a:r>
              </a:p>
            </c:rich>
          </c:tx>
          <c:layout>
            <c:manualLayout>
              <c:xMode val="edge"/>
              <c:yMode val="edge"/>
              <c:x val="2.7816411682892908E-2"/>
              <c:y val="0.37440215806357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0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Pivot_tables!$B$4:$B$16</c:f>
              <c:numCache>
                <c:formatCode>General</c:formatCode>
                <c:ptCount val="12"/>
                <c:pt idx="0">
                  <c:v>16320.87</c:v>
                </c:pt>
                <c:pt idx="1">
                  <c:v>10838.169999999998</c:v>
                </c:pt>
                <c:pt idx="2">
                  <c:v>14448.52</c:v>
                </c:pt>
                <c:pt idx="3">
                  <c:v>11213.48</c:v>
                </c:pt>
                <c:pt idx="4">
                  <c:v>24056.319999999996</c:v>
                </c:pt>
                <c:pt idx="5">
                  <c:v>15917.230000000001</c:v>
                </c:pt>
                <c:pt idx="6">
                  <c:v>19186.43</c:v>
                </c:pt>
                <c:pt idx="7">
                  <c:v>23400.280000000002</c:v>
                </c:pt>
                <c:pt idx="8">
                  <c:v>2426.84</c:v>
                </c:pt>
                <c:pt idx="9">
                  <c:v>28395.91</c:v>
                </c:pt>
                <c:pt idx="10">
                  <c:v>21561.219999999998</c:v>
                </c:pt>
                <c:pt idx="11">
                  <c:v>10678.320000000002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6-4E8A-8E46-8C3684FE03C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4179520"/>
        <c:axId val="336921712"/>
      </c:barChart>
      <c:catAx>
        <c:axId val="354179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921712"/>
        <c:crosses val="autoZero"/>
        <c:auto val="1"/>
        <c:lblAlgn val="ctr"/>
        <c:lblOffset val="100"/>
        <c:noMultiLvlLbl val="0"/>
      </c:catAx>
      <c:valAx>
        <c:axId val="3369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[Retail_Sales.xlsx]Pivot_tables!PivotTable6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Category-wise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Pivot_tables!$A$19:$A$23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Stationery</c:v>
                </c:pt>
              </c:strCache>
            </c:strRef>
          </c:cat>
          <c:val>
            <c:numRef>
              <c:f>Pivot_tables!$B$19:$B$23</c:f>
              <c:numCache>
                <c:formatCode>General</c:formatCode>
                <c:ptCount val="4"/>
                <c:pt idx="0">
                  <c:v>40367.49</c:v>
                </c:pt>
                <c:pt idx="1">
                  <c:v>92814.210000000021</c:v>
                </c:pt>
                <c:pt idx="2">
                  <c:v>48726.94000000001</c:v>
                </c:pt>
                <c:pt idx="3">
                  <c:v>16534.950000000004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5-4022-BE27-9A6F8A5E0F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0545008"/>
        <c:axId val="1516127120"/>
      </c:barChart>
      <c:catAx>
        <c:axId val="49054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27120"/>
        <c:crosses val="autoZero"/>
        <c:auto val="1"/>
        <c:lblAlgn val="ctr"/>
        <c:lblOffset val="100"/>
        <c:noMultiLvlLbl val="0"/>
      </c:catAx>
      <c:valAx>
        <c:axId val="15161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4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[Retail_Sales.xlsx]Pivot_tables!PivotTable7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Region-wise Sales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Pivot_tables!$A$36:$A$41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Pivot_tables!$B$36:$B$41</c:f>
              <c:numCache>
                <c:formatCode>General</c:formatCode>
                <c:ptCount val="5"/>
                <c:pt idx="0">
                  <c:v>51948.05000000001</c:v>
                </c:pt>
                <c:pt idx="1">
                  <c:v>50490.49</c:v>
                </c:pt>
                <c:pt idx="2">
                  <c:v>45206.53</c:v>
                </c:pt>
                <c:pt idx="3">
                  <c:v>42118.639999999992</c:v>
                </c:pt>
                <c:pt idx="4">
                  <c:v>8679.8799999999992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2-4337-9F68-257277334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2404112"/>
        <c:axId val="1705598448"/>
      </c:barChart>
      <c:catAx>
        <c:axId val="152240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98448"/>
        <c:crosses val="autoZero"/>
        <c:auto val="1"/>
        <c:lblAlgn val="ctr"/>
        <c:lblOffset val="100"/>
        <c:noMultiLvlLbl val="0"/>
      </c:catAx>
      <c:valAx>
        <c:axId val="17055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saLES</a:t>
                </a:r>
              </a:p>
            </c:rich>
          </c:tx>
          <c:layout>
            <c:manualLayout>
              <c:xMode val="edge"/>
              <c:yMode val="edge"/>
              <c:x val="2.7816411682892908E-2"/>
              <c:y val="0.37440215806357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0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10</xdr:col>
      <xdr:colOff>251460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4165C-807A-46E0-A516-83FAA88EB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5</xdr:col>
      <xdr:colOff>739140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34030C-9FBA-459B-BF28-D84934A6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807720</xdr:colOff>
      <xdr:row>19</xdr:row>
      <xdr:rowOff>0</xdr:rowOff>
    </xdr:from>
    <xdr:to>
      <xdr:col>10</xdr:col>
      <xdr:colOff>281940</xdr:colOff>
      <xdr:row>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CB092C-9BCC-4054-ABBB-D1A0D8474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693420</xdr:colOff>
      <xdr:row>2</xdr:row>
      <xdr:rowOff>22860</xdr:rowOff>
    </xdr:from>
    <xdr:to>
      <xdr:col>11</xdr:col>
      <xdr:colOff>160020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0E5FB-D393-D24B-04E4-55D8405D7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670560</xdr:colOff>
      <xdr:row>16</xdr:row>
      <xdr:rowOff>167640</xdr:rowOff>
    </xdr:from>
    <xdr:to>
      <xdr:col>11</xdr:col>
      <xdr:colOff>99060</xdr:colOff>
      <xdr:row>31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BBD8DA-A376-344F-F83F-C1D57E667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662940</xdr:colOff>
      <xdr:row>33</xdr:row>
      <xdr:rowOff>121920</xdr:rowOff>
    </xdr:from>
    <xdr:to>
      <xdr:col>11</xdr:col>
      <xdr:colOff>114300</xdr:colOff>
      <xdr:row>48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717984-5DC6-3E1B-B557-2CD83D4EA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307.929861921293" createdVersion="8" refreshedVersion="8" minRefreshableVersion="3" recordCount="80" xr:uid="{295C3655-74A8-4B4C-B843-0ACB699D8FDF}">
  <cacheSource type="worksheet">
    <worksheetSource name="sales_table"/>
  </cacheSource>
  <cacheFields count="11">
    <cacheField name="Order ID" numFmtId="0">
      <sharedItems/>
    </cacheField>
    <cacheField name="Order Date" numFmtId="14">
      <sharedItems containsSemiMixedTypes="0" containsNonDate="0" containsDate="1" containsString="0" minDate="2025-01-06T00:00:00" maxDate="2025-12-24T00:00:00" count="67">
        <d v="2025-11-24T00:00:00"/>
        <d v="2025-10-07T00:00:00"/>
        <d v="2025-11-05T00:00:00"/>
        <d v="2025-05-23T00:00:00"/>
        <d v="2025-06-22T00:00:00"/>
        <d v="2025-08-24T00:00:00"/>
        <d v="2025-01-24T00:00:00"/>
        <d v="2025-11-22T00:00:00"/>
        <d v="2025-03-29T00:00:00"/>
        <d v="2025-01-29T00:00:00"/>
        <d v="2025-10-18T00:00:00"/>
        <d v="2025-05-07T00:00:00"/>
        <d v="2025-03-12T00:00:00"/>
        <d v="2025-08-05T00:00:00"/>
        <d v="2025-01-06T00:00:00"/>
        <d v="2025-03-22T00:00:00"/>
        <d v="2025-06-02T00:00:00"/>
        <d v="2025-02-27T00:00:00"/>
        <d v="2025-02-05T00:00:00"/>
        <d v="2025-11-07T00:00:00"/>
        <d v="2025-12-10T00:00:00"/>
        <d v="2025-01-11T00:00:00"/>
        <d v="2025-01-17T00:00:00"/>
        <d v="2025-10-20T00:00:00"/>
        <d v="2025-08-09T00:00:00"/>
        <d v="2025-06-23T00:00:00"/>
        <d v="2025-10-04T00:00:00"/>
        <d v="2025-07-25T00:00:00"/>
        <d v="2025-08-21T00:00:00"/>
        <d v="2025-04-22T00:00:00"/>
        <d v="2025-09-02T00:00:00"/>
        <d v="2025-12-12T00:00:00"/>
        <d v="2025-08-03T00:00:00"/>
        <d v="2025-03-09T00:00:00"/>
        <d v="2025-10-16T00:00:00"/>
        <d v="2025-10-11T00:00:00"/>
        <d v="2025-02-24T00:00:00"/>
        <d v="2025-05-16T00:00:00"/>
        <d v="2025-06-20T00:00:00"/>
        <d v="2025-01-22T00:00:00"/>
        <d v="2025-07-01T00:00:00"/>
        <d v="2025-04-01T00:00:00"/>
        <d v="2025-05-08T00:00:00"/>
        <d v="2025-05-14T00:00:00"/>
        <d v="2025-06-10T00:00:00"/>
        <d v="2025-08-12T00:00:00"/>
        <d v="2025-12-07T00:00:00"/>
        <d v="2025-12-08T00:00:00"/>
        <d v="2025-07-14T00:00:00"/>
        <d v="2025-03-28T00:00:00"/>
        <d v="2025-05-01T00:00:00"/>
        <d v="2025-11-09T00:00:00"/>
        <d v="2025-05-05T00:00:00"/>
        <d v="2025-12-23T00:00:00"/>
        <d v="2025-08-26T00:00:00"/>
        <d v="2025-09-01T00:00:00"/>
        <d v="2025-05-21T00:00:00"/>
        <d v="2025-02-11T00:00:00"/>
        <d v="2025-07-28T00:00:00"/>
        <d v="2025-10-27T00:00:00"/>
        <d v="2025-12-09T00:00:00"/>
        <d v="2025-10-31T00:00:00"/>
        <d v="2025-08-04T00:00:00"/>
        <d v="2025-08-31T00:00:00"/>
        <d v="2025-07-12T00:00:00"/>
        <d v="2025-06-04T00:00:00"/>
        <d v="2025-11-28T00:00:00"/>
      </sharedItems>
      <fieldGroup par="10"/>
    </cacheField>
    <cacheField name="Region" numFmtId="0">
      <sharedItems count="5">
        <s v="South"/>
        <s v="North"/>
        <s v="West"/>
        <s v="East"/>
        <s v="Unknown"/>
      </sharedItems>
    </cacheField>
    <cacheField name="Sales Channel" numFmtId="0">
      <sharedItems/>
    </cacheField>
    <cacheField name="Category" numFmtId="0">
      <sharedItems count="5">
        <s v="Electronics"/>
        <s v="Home &amp; Kitchen"/>
        <s v="Stationery"/>
        <s v="Accessories"/>
        <s v="electronics " u="1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 (₹)" numFmtId="0">
      <sharedItems containsSemiMixedTypes="0" containsString="0" containsNumber="1" minValue="109.6" maxValue="2756.73"/>
    </cacheField>
    <cacheField name="Sales" numFmtId="0">
      <sharedItems containsSemiMixedTypes="0" containsString="0" containsNumber="1" minValue="125.61" maxValue="12520.55"/>
    </cacheField>
    <cacheField name="Days (Order Date)" numFmtId="0" databaseField="0">
      <fieldGroup base="1">
        <rangePr groupBy="days" startDate="2025-01-06T00:00:00" endDate="2025-12-24T00:00:00"/>
        <groupItems count="368">
          <s v="&lt;06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12-2025"/>
        </groupItems>
      </fieldGroup>
    </cacheField>
    <cacheField name="Months (Order Date)" numFmtId="0" databaseField="0">
      <fieldGroup base="1">
        <rangePr groupBy="months" startDate="2025-01-06T00:00:00" endDate="2025-12-24T00:00:00"/>
        <groupItems count="14">
          <s v="&lt;06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ORD-001"/>
    <x v="0"/>
    <x v="0"/>
    <s v="Online"/>
    <x v="0"/>
    <s v="Wireless Mouse"/>
    <n v="3"/>
    <n v="681.77"/>
    <n v="2045.31"/>
  </r>
  <r>
    <s v="ORD-002"/>
    <x v="1"/>
    <x v="1"/>
    <s v="Online"/>
    <x v="0"/>
    <s v="Headphones"/>
    <n v="4"/>
    <n v="1712.13"/>
    <n v="6848.52"/>
  </r>
  <r>
    <s v="ORD-003"/>
    <x v="2"/>
    <x v="2"/>
    <s v="Online"/>
    <x v="0"/>
    <s v="Headphones"/>
    <n v="2"/>
    <n v="1797.89"/>
    <n v="3595.78"/>
  </r>
  <r>
    <s v="ORD-004"/>
    <x v="3"/>
    <x v="0"/>
    <s v="Online"/>
    <x v="0"/>
    <s v="Wireless Mouse"/>
    <n v="4"/>
    <n v="721.88"/>
    <n v="2887.52"/>
  </r>
  <r>
    <s v="ORD-005"/>
    <x v="4"/>
    <x v="3"/>
    <s v="Store"/>
    <x v="0"/>
    <s v="Wireless Mouse"/>
    <n v="4"/>
    <n v="700.42"/>
    <n v="2801.68"/>
  </r>
  <r>
    <s v="ORD-006"/>
    <x v="5"/>
    <x v="3"/>
    <s v="Online"/>
    <x v="0"/>
    <s v="Keyboard"/>
    <n v="1"/>
    <n v="1266.01"/>
    <n v="1266.01"/>
  </r>
  <r>
    <s v="ORD-007"/>
    <x v="6"/>
    <x v="4"/>
    <s v="Store"/>
    <x v="1"/>
    <s v="Storage Box"/>
    <n v="1"/>
    <n v="480.58"/>
    <n v="480.58"/>
  </r>
  <r>
    <s v="ORD-008"/>
    <x v="7"/>
    <x v="3"/>
    <s v="Online"/>
    <x v="2"/>
    <s v="Notebook Set"/>
    <n v="3"/>
    <n v="227.48"/>
    <n v="682.44"/>
  </r>
  <r>
    <s v="ORD-009"/>
    <x v="8"/>
    <x v="0"/>
    <s v="Store"/>
    <x v="1"/>
    <s v="Water Bottle"/>
    <n v="4"/>
    <n v="379.9"/>
    <n v="1519.6"/>
  </r>
  <r>
    <s v="ORD-010"/>
    <x v="9"/>
    <x v="1"/>
    <s v="Online"/>
    <x v="1"/>
    <s v="Water Bottle"/>
    <n v="3"/>
    <n v="385.31"/>
    <n v="1155.93"/>
  </r>
  <r>
    <s v="ORD-011"/>
    <x v="10"/>
    <x v="2"/>
    <s v="Online"/>
    <x v="2"/>
    <s v="Notebook Set"/>
    <n v="4"/>
    <n v="210.82"/>
    <n v="843.28"/>
  </r>
  <r>
    <s v="ORD-012"/>
    <x v="11"/>
    <x v="2"/>
    <s v="Store"/>
    <x v="2"/>
    <s v="Desk Organizer"/>
    <n v="5"/>
    <n v="426.71"/>
    <n v="2133.5500000000002"/>
  </r>
  <r>
    <s v="ORD-013"/>
    <x v="12"/>
    <x v="0"/>
    <s v="Online"/>
    <x v="3"/>
    <s v="Backpack"/>
    <n v="1"/>
    <n v="1503.96"/>
    <n v="1503.96"/>
  </r>
  <r>
    <s v="ORD-014"/>
    <x v="13"/>
    <x v="2"/>
    <s v="Store"/>
    <x v="0"/>
    <s v="Keyboard"/>
    <n v="4"/>
    <n v="1336.36"/>
    <n v="5345.44"/>
  </r>
  <r>
    <s v="ORD-015"/>
    <x v="14"/>
    <x v="3"/>
    <s v="Online"/>
    <x v="0"/>
    <s v="Headphones"/>
    <n v="5"/>
    <n v="1736.23"/>
    <n v="8681.15"/>
  </r>
  <r>
    <s v="ORD-016"/>
    <x v="15"/>
    <x v="0"/>
    <s v="Online"/>
    <x v="3"/>
    <s v="Backpack"/>
    <n v="3"/>
    <n v="1528.12"/>
    <n v="4584.3599999999997"/>
  </r>
  <r>
    <s v="ORD-017"/>
    <x v="16"/>
    <x v="1"/>
    <s v="Store"/>
    <x v="1"/>
    <s v="Water Bottle"/>
    <n v="3"/>
    <n v="352.62"/>
    <n v="1057.8599999999999"/>
  </r>
  <r>
    <s v="ORD-018"/>
    <x v="17"/>
    <x v="1"/>
    <s v="Online"/>
    <x v="2"/>
    <s v="Pen Pack"/>
    <n v="2"/>
    <n v="127.32"/>
    <n v="254.64"/>
  </r>
  <r>
    <s v="ORD-019"/>
    <x v="18"/>
    <x v="0"/>
    <s v="Store"/>
    <x v="1"/>
    <s v="Water Bottle"/>
    <n v="4"/>
    <n v="355.63"/>
    <n v="1422.52"/>
  </r>
  <r>
    <s v="ORD-020"/>
    <x v="19"/>
    <x v="0"/>
    <s v="Store"/>
    <x v="3"/>
    <s v="Backpack"/>
    <n v="5"/>
    <n v="1382.89"/>
    <n v="6914.45"/>
  </r>
  <r>
    <s v="ORD-021"/>
    <x v="20"/>
    <x v="0"/>
    <s v="Online"/>
    <x v="2"/>
    <s v="Pen Pack"/>
    <n v="5"/>
    <n v="109.69"/>
    <n v="548.45000000000005"/>
  </r>
  <r>
    <s v="ORD-022"/>
    <x v="21"/>
    <x v="1"/>
    <s v="Online"/>
    <x v="1"/>
    <s v="Mixer Grinder"/>
    <n v="2"/>
    <n v="2378.5500000000002"/>
    <n v="4757.1000000000004"/>
  </r>
  <r>
    <s v="ORD-023"/>
    <x v="22"/>
    <x v="2"/>
    <s v="Online"/>
    <x v="2"/>
    <s v="Notebook Set"/>
    <n v="5"/>
    <n v="224.1"/>
    <n v="1120.5"/>
  </r>
  <r>
    <s v="ORD-024"/>
    <x v="23"/>
    <x v="0"/>
    <s v="Online"/>
    <x v="3"/>
    <s v="Backpack"/>
    <n v="4"/>
    <n v="1289.8499999999999"/>
    <n v="5159.3999999999996"/>
  </r>
  <r>
    <s v="ORD-025"/>
    <x v="24"/>
    <x v="1"/>
    <s v="Online"/>
    <x v="2"/>
    <s v="Pen Pack"/>
    <n v="4"/>
    <n v="109.6"/>
    <n v="438.4"/>
  </r>
  <r>
    <s v="ORD-026"/>
    <x v="25"/>
    <x v="2"/>
    <s v="Online"/>
    <x v="0"/>
    <s v="Wireless Mouse"/>
    <n v="2"/>
    <n v="645.33000000000004"/>
    <n v="1290.6600000000001"/>
  </r>
  <r>
    <s v="ORD-027"/>
    <x v="3"/>
    <x v="1"/>
    <s v="Online"/>
    <x v="3"/>
    <s v="Backpack"/>
    <n v="1"/>
    <n v="1460.86"/>
    <n v="1460.86"/>
  </r>
  <r>
    <s v="ORD-028"/>
    <x v="26"/>
    <x v="2"/>
    <s v="Store"/>
    <x v="0"/>
    <s v="Wireless Mouse"/>
    <n v="2"/>
    <n v="615.57000000000005"/>
    <n v="1231.1400000000001"/>
  </r>
  <r>
    <s v="ORD-029"/>
    <x v="27"/>
    <x v="2"/>
    <s v="Store"/>
    <x v="0"/>
    <s v="Wireless Mouse"/>
    <n v="4"/>
    <n v="717.49"/>
    <n v="2869.96"/>
  </r>
  <r>
    <s v="ORD-030"/>
    <x v="28"/>
    <x v="2"/>
    <s v="Online"/>
    <x v="2"/>
    <s v="Pen Pack"/>
    <n v="5"/>
    <n v="113.01"/>
    <n v="565.04999999999995"/>
  </r>
  <r>
    <s v="ORD-031"/>
    <x v="29"/>
    <x v="4"/>
    <s v="Online"/>
    <x v="0"/>
    <s v="Headphones"/>
    <n v="5"/>
    <n v="1639.86"/>
    <n v="8199.2999999999993"/>
  </r>
  <r>
    <s v="ORD-032"/>
    <x v="30"/>
    <x v="0"/>
    <s v="Online"/>
    <x v="1"/>
    <s v="Water Bottle"/>
    <n v="5"/>
    <n v="360.82"/>
    <n v="1804.1"/>
  </r>
  <r>
    <s v="ORD-033"/>
    <x v="31"/>
    <x v="0"/>
    <s v="Online"/>
    <x v="1"/>
    <s v="Storage Box"/>
    <n v="1"/>
    <n v="518.13"/>
    <n v="518.13"/>
  </r>
  <r>
    <s v="ORD-034"/>
    <x v="32"/>
    <x v="3"/>
    <s v="Online"/>
    <x v="2"/>
    <s v="Pen Pack"/>
    <n v="2"/>
    <n v="115.01"/>
    <n v="230.02"/>
  </r>
  <r>
    <s v="ORD-035"/>
    <x v="33"/>
    <x v="1"/>
    <s v="Online"/>
    <x v="2"/>
    <s v="Pen Pack"/>
    <n v="3"/>
    <n v="120.1"/>
    <n v="360.3"/>
  </r>
  <r>
    <s v="ORD-036"/>
    <x v="34"/>
    <x v="3"/>
    <s v="Online"/>
    <x v="0"/>
    <s v="Wireless Mouse"/>
    <n v="5"/>
    <n v="718.46"/>
    <n v="3592.3"/>
  </r>
  <r>
    <s v="ORD-037"/>
    <x v="18"/>
    <x v="3"/>
    <s v="Online"/>
    <x v="1"/>
    <s v="Storage Box"/>
    <n v="3"/>
    <n v="523.46"/>
    <n v="1570.38"/>
  </r>
  <r>
    <s v="ORD-038"/>
    <x v="35"/>
    <x v="0"/>
    <s v="Store"/>
    <x v="2"/>
    <s v="Desk Organizer"/>
    <n v="1"/>
    <n v="416.43"/>
    <n v="416.43"/>
  </r>
  <r>
    <s v="ORD-039"/>
    <x v="36"/>
    <x v="0"/>
    <s v="Online"/>
    <x v="1"/>
    <s v="Storage Box"/>
    <n v="3"/>
    <n v="525.62"/>
    <n v="1576.86"/>
  </r>
  <r>
    <s v="ORD-040"/>
    <x v="37"/>
    <x v="2"/>
    <s v="Store"/>
    <x v="3"/>
    <s v="Phone Case"/>
    <n v="1"/>
    <n v="272.91000000000003"/>
    <n v="272.91000000000003"/>
  </r>
  <r>
    <s v="ORD-041"/>
    <x v="38"/>
    <x v="2"/>
    <s v="Store"/>
    <x v="1"/>
    <s v="Mixer Grinder"/>
    <n v="3"/>
    <n v="2660.84"/>
    <n v="7982.52"/>
  </r>
  <r>
    <s v="ORD-042"/>
    <x v="17"/>
    <x v="3"/>
    <s v="Online"/>
    <x v="0"/>
    <s v="Headphones"/>
    <n v="2"/>
    <n v="1790.2"/>
    <n v="3580.4"/>
  </r>
  <r>
    <s v="ORD-043"/>
    <x v="39"/>
    <x v="0"/>
    <s v="Online"/>
    <x v="2"/>
    <s v="Pen Pack"/>
    <n v="1"/>
    <n v="125.61"/>
    <n v="125.61"/>
  </r>
  <r>
    <s v="ORD-044"/>
    <x v="40"/>
    <x v="0"/>
    <s v="Online"/>
    <x v="3"/>
    <s v="USB Cable"/>
    <n v="2"/>
    <n v="278.69"/>
    <n v="557.38"/>
  </r>
  <r>
    <s v="ORD-045"/>
    <x v="41"/>
    <x v="3"/>
    <s v="Store"/>
    <x v="3"/>
    <s v="Backpack"/>
    <n v="2"/>
    <n v="1507.09"/>
    <n v="3014.18"/>
  </r>
  <r>
    <s v="ORD-046"/>
    <x v="42"/>
    <x v="1"/>
    <s v="Store"/>
    <x v="2"/>
    <s v="Notebook Set"/>
    <n v="1"/>
    <n v="208.77"/>
    <n v="208.77"/>
  </r>
  <r>
    <s v="ORD-047"/>
    <x v="5"/>
    <x v="0"/>
    <s v="Store"/>
    <x v="2"/>
    <s v="Pen Pack"/>
    <n v="2"/>
    <n v="116.67"/>
    <n v="233.34"/>
  </r>
  <r>
    <s v="ORD-048"/>
    <x v="18"/>
    <x v="3"/>
    <s v="Online"/>
    <x v="2"/>
    <s v="Pen Pack"/>
    <n v="5"/>
    <n v="111.05"/>
    <n v="555.25"/>
  </r>
  <r>
    <s v="ORD-049"/>
    <x v="43"/>
    <x v="2"/>
    <s v="Store"/>
    <x v="1"/>
    <s v="Mixer Grinder"/>
    <n v="3"/>
    <n v="2756.73"/>
    <n v="8270.19"/>
  </r>
  <r>
    <s v="ORD-050"/>
    <x v="44"/>
    <x v="0"/>
    <s v="Store"/>
    <x v="3"/>
    <s v="USB Cable"/>
    <n v="5"/>
    <n v="227.44"/>
    <n v="1137.2"/>
  </r>
  <r>
    <s v="ORD-051"/>
    <x v="45"/>
    <x v="0"/>
    <s v="Store"/>
    <x v="0"/>
    <s v="Headphones"/>
    <n v="5"/>
    <n v="1790.79"/>
    <n v="8953.9500000000007"/>
  </r>
  <r>
    <s v="ORD-052"/>
    <x v="46"/>
    <x v="1"/>
    <s v="Store"/>
    <x v="2"/>
    <s v="Desk Organizer"/>
    <n v="3"/>
    <n v="455.21"/>
    <n v="1365.63"/>
  </r>
  <r>
    <s v="ORD-053"/>
    <x v="47"/>
    <x v="0"/>
    <s v="Online"/>
    <x v="3"/>
    <s v="Phone Case"/>
    <n v="4"/>
    <n v="297.75"/>
    <n v="1191"/>
  </r>
  <r>
    <s v="ORD-054"/>
    <x v="48"/>
    <x v="1"/>
    <s v="Store"/>
    <x v="1"/>
    <s v="Mixer Grinder"/>
    <n v="5"/>
    <n v="2504.11"/>
    <n v="12520.55"/>
  </r>
  <r>
    <s v="ORD-055"/>
    <x v="24"/>
    <x v="0"/>
    <s v="Store"/>
    <x v="2"/>
    <s v="Pen Pack"/>
    <n v="4"/>
    <n v="128.94999999999999"/>
    <n v="515.79999999999995"/>
  </r>
  <r>
    <s v="ORD-056"/>
    <x v="49"/>
    <x v="3"/>
    <s v="Online"/>
    <x v="0"/>
    <s v="Keyboard"/>
    <n v="5"/>
    <n v="1296.06"/>
    <n v="6480.3"/>
  </r>
  <r>
    <s v="ORD-057"/>
    <x v="50"/>
    <x v="1"/>
    <s v="Online"/>
    <x v="2"/>
    <s v="Notebook Set"/>
    <n v="2"/>
    <n v="245.62"/>
    <n v="491.24"/>
  </r>
  <r>
    <s v="ORD-058"/>
    <x v="51"/>
    <x v="0"/>
    <s v="Store"/>
    <x v="0"/>
    <s v="Keyboard"/>
    <n v="4"/>
    <n v="1210.52"/>
    <n v="4842.08"/>
  </r>
  <r>
    <s v="ORD-059"/>
    <x v="52"/>
    <x v="1"/>
    <s v="Store"/>
    <x v="1"/>
    <s v="Mixer Grinder"/>
    <n v="1"/>
    <n v="2465.1799999999998"/>
    <n v="2465.1799999999998"/>
  </r>
  <r>
    <s v="ORD-060"/>
    <x v="53"/>
    <x v="1"/>
    <s v="Store"/>
    <x v="3"/>
    <s v="Backpack"/>
    <n v="5"/>
    <n v="1301.07"/>
    <n v="6505.35"/>
  </r>
  <r>
    <s v="ORD-061"/>
    <x v="54"/>
    <x v="2"/>
    <s v="Store"/>
    <x v="2"/>
    <s v="Pen Pack"/>
    <n v="5"/>
    <n v="131.69"/>
    <n v="658.45"/>
  </r>
  <r>
    <s v="ORD-062"/>
    <x v="55"/>
    <x v="3"/>
    <s v="Store"/>
    <x v="3"/>
    <s v="Phone Case"/>
    <n v="2"/>
    <n v="311.37"/>
    <n v="622.74"/>
  </r>
  <r>
    <s v="ORD-063"/>
    <x v="56"/>
    <x v="3"/>
    <s v="Store"/>
    <x v="3"/>
    <s v="Backpack"/>
    <n v="3"/>
    <n v="1535.05"/>
    <n v="4605.1499999999996"/>
  </r>
  <r>
    <s v="ORD-064"/>
    <x v="57"/>
    <x v="0"/>
    <s v="Online"/>
    <x v="1"/>
    <s v="Water Bottle"/>
    <n v="2"/>
    <n v="319.95"/>
    <n v="639.9"/>
  </r>
  <r>
    <s v="ORD-065"/>
    <x v="58"/>
    <x v="0"/>
    <s v="Store"/>
    <x v="2"/>
    <s v="Desk Organizer"/>
    <n v="4"/>
    <n v="443.56"/>
    <n v="1774.24"/>
  </r>
  <r>
    <s v="ORD-066"/>
    <x v="59"/>
    <x v="3"/>
    <s v="Store"/>
    <x v="0"/>
    <s v="Headphones"/>
    <n v="4"/>
    <n v="1918.38"/>
    <n v="7673.52"/>
  </r>
  <r>
    <s v="ORD-067"/>
    <x v="32"/>
    <x v="2"/>
    <s v="Online"/>
    <x v="1"/>
    <s v="Storage Box"/>
    <n v="2"/>
    <n v="492.77"/>
    <n v="985.54"/>
  </r>
  <r>
    <s v="ORD-068"/>
    <x v="60"/>
    <x v="0"/>
    <s v="Online"/>
    <x v="3"/>
    <s v="USB Cable"/>
    <n v="2"/>
    <n v="274.88"/>
    <n v="549.76"/>
  </r>
  <r>
    <s v="ORD-069"/>
    <x v="61"/>
    <x v="2"/>
    <s v="Online"/>
    <x v="0"/>
    <s v="Wireless Mouse"/>
    <n v="4"/>
    <n v="592.19000000000005"/>
    <n v="2368.7600000000002"/>
  </r>
  <r>
    <s v="ORD-070"/>
    <x v="48"/>
    <x v="2"/>
    <s v="Store"/>
    <x v="2"/>
    <s v="Notebook Set"/>
    <n v="4"/>
    <n v="234.4"/>
    <n v="937.6"/>
  </r>
  <r>
    <s v="ORD-071"/>
    <x v="62"/>
    <x v="1"/>
    <s v="Store"/>
    <x v="2"/>
    <s v="Notebook Set"/>
    <n v="4"/>
    <n v="208.85"/>
    <n v="835.4"/>
  </r>
  <r>
    <s v="ORD-072"/>
    <x v="18"/>
    <x v="1"/>
    <s v="Online"/>
    <x v="0"/>
    <s v="Wireless Mouse"/>
    <n v="2"/>
    <n v="619.11"/>
    <n v="1238.22"/>
  </r>
  <r>
    <s v="ORD-073"/>
    <x v="63"/>
    <x v="3"/>
    <s v="Store"/>
    <x v="0"/>
    <s v="Headphones"/>
    <n v="2"/>
    <n v="1686.44"/>
    <n v="3372.88"/>
  </r>
  <r>
    <s v="ORD-074"/>
    <x v="19"/>
    <x v="1"/>
    <s v="Store"/>
    <x v="0"/>
    <s v="Wireless Mouse"/>
    <n v="3"/>
    <n v="667.34"/>
    <n v="2002.02"/>
  </r>
  <r>
    <s v="ORD-075"/>
    <x v="64"/>
    <x v="0"/>
    <s v="Online"/>
    <x v="3"/>
    <s v="USB Cable"/>
    <n v="2"/>
    <n v="263.35000000000002"/>
    <n v="526.70000000000005"/>
  </r>
  <r>
    <s v="ORD-076"/>
    <x v="65"/>
    <x v="2"/>
    <s v="Store"/>
    <x v="0"/>
    <s v="Headphones"/>
    <n v="1"/>
    <n v="1647.31"/>
    <n v="1647.31"/>
  </r>
  <r>
    <s v="ORD-077"/>
    <x v="66"/>
    <x v="1"/>
    <s v="Store"/>
    <x v="2"/>
    <s v="Notebook Set"/>
    <n v="4"/>
    <n v="244.5"/>
    <n v="978"/>
  </r>
  <r>
    <s v="ORD-078"/>
    <x v="7"/>
    <x v="3"/>
    <s v="Store"/>
    <x v="3"/>
    <s v="USB Cable"/>
    <n v="2"/>
    <n v="250.57"/>
    <n v="501.14"/>
  </r>
  <r>
    <s v="ORD-079"/>
    <x v="61"/>
    <x v="1"/>
    <s v="Store"/>
    <x v="2"/>
    <s v="Pen Pack"/>
    <n v="2"/>
    <n v="131.28"/>
    <n v="262.56"/>
  </r>
  <r>
    <s v="ORD-080"/>
    <x v="52"/>
    <x v="3"/>
    <s v="Online"/>
    <x v="3"/>
    <s v="USB Cable"/>
    <n v="5"/>
    <n v="252.19"/>
    <n v="126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14850-E270-4297-802A-62CC704A5EC0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5:B41" firstHeaderRow="1" firstDataRow="1" firstDataCol="1"/>
  <pivotFields count="11">
    <pivotField showAll="0"/>
    <pivotField numFmtId="14" showAll="0">
      <items count="68">
        <item x="14"/>
        <item x="21"/>
        <item x="22"/>
        <item x="39"/>
        <item x="6"/>
        <item x="9"/>
        <item x="18"/>
        <item x="57"/>
        <item x="36"/>
        <item x="17"/>
        <item x="33"/>
        <item x="12"/>
        <item x="15"/>
        <item x="49"/>
        <item x="8"/>
        <item x="41"/>
        <item x="29"/>
        <item x="50"/>
        <item x="52"/>
        <item x="11"/>
        <item x="42"/>
        <item x="43"/>
        <item x="37"/>
        <item x="56"/>
        <item x="3"/>
        <item x="16"/>
        <item x="65"/>
        <item x="44"/>
        <item x="38"/>
        <item x="4"/>
        <item x="25"/>
        <item x="40"/>
        <item x="64"/>
        <item x="48"/>
        <item x="27"/>
        <item x="58"/>
        <item x="32"/>
        <item x="62"/>
        <item x="13"/>
        <item x="24"/>
        <item x="45"/>
        <item x="28"/>
        <item x="5"/>
        <item x="54"/>
        <item x="63"/>
        <item x="55"/>
        <item x="30"/>
        <item x="26"/>
        <item x="1"/>
        <item x="35"/>
        <item x="34"/>
        <item x="10"/>
        <item x="23"/>
        <item x="59"/>
        <item x="61"/>
        <item x="2"/>
        <item x="19"/>
        <item x="51"/>
        <item x="7"/>
        <item x="0"/>
        <item x="66"/>
        <item x="46"/>
        <item x="47"/>
        <item x="60"/>
        <item x="20"/>
        <item x="31"/>
        <item x="53"/>
        <item t="default"/>
      </items>
    </pivotField>
    <pivotField axis="axisRow" showAll="0" sortType="de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3"/>
        <item x="0"/>
        <item m="1" x="4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6">
    <i>
      <x v="2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Sales" fld="8" baseField="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562C4-D588-4279-842F-2E849FA06A51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8:B23" firstHeaderRow="1" firstDataRow="1" firstDataCol="1"/>
  <pivotFields count="11">
    <pivotField showAll="0"/>
    <pivotField numFmtId="14" showAll="0">
      <items count="68">
        <item x="14"/>
        <item x="21"/>
        <item x="22"/>
        <item x="39"/>
        <item x="6"/>
        <item x="9"/>
        <item x="18"/>
        <item x="57"/>
        <item x="36"/>
        <item x="17"/>
        <item x="33"/>
        <item x="12"/>
        <item x="15"/>
        <item x="49"/>
        <item x="8"/>
        <item x="41"/>
        <item x="29"/>
        <item x="50"/>
        <item x="52"/>
        <item x="11"/>
        <item x="42"/>
        <item x="43"/>
        <item x="37"/>
        <item x="56"/>
        <item x="3"/>
        <item x="16"/>
        <item x="65"/>
        <item x="44"/>
        <item x="38"/>
        <item x="4"/>
        <item x="25"/>
        <item x="40"/>
        <item x="64"/>
        <item x="48"/>
        <item x="27"/>
        <item x="58"/>
        <item x="32"/>
        <item x="62"/>
        <item x="13"/>
        <item x="24"/>
        <item x="45"/>
        <item x="28"/>
        <item x="5"/>
        <item x="54"/>
        <item x="63"/>
        <item x="55"/>
        <item x="30"/>
        <item x="26"/>
        <item x="1"/>
        <item x="35"/>
        <item x="34"/>
        <item x="10"/>
        <item x="23"/>
        <item x="59"/>
        <item x="61"/>
        <item x="2"/>
        <item x="19"/>
        <item x="51"/>
        <item x="7"/>
        <item x="0"/>
        <item x="66"/>
        <item x="46"/>
        <item x="47"/>
        <item x="60"/>
        <item x="20"/>
        <item x="31"/>
        <item x="53"/>
        <item t="default"/>
      </items>
    </pivotField>
    <pivotField showAll="0"/>
    <pivotField showAll="0"/>
    <pivotField axis="axisRow" showAll="0">
      <items count="6">
        <item x="3"/>
        <item x="0"/>
        <item m="1" x="4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Sum of Sales" fld="8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D5D81-7823-46F9-8DB0-28CE43A93FA0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11">
    <pivotField showAll="0"/>
    <pivotField axis="axisRow" numFmtId="14" showAll="0">
      <items count="68">
        <item x="14"/>
        <item x="21"/>
        <item x="22"/>
        <item x="39"/>
        <item x="6"/>
        <item x="9"/>
        <item x="18"/>
        <item x="57"/>
        <item x="36"/>
        <item x="17"/>
        <item x="33"/>
        <item x="12"/>
        <item x="15"/>
        <item x="49"/>
        <item x="8"/>
        <item x="41"/>
        <item x="29"/>
        <item x="50"/>
        <item x="52"/>
        <item x="11"/>
        <item x="42"/>
        <item x="43"/>
        <item x="37"/>
        <item x="56"/>
        <item x="3"/>
        <item x="16"/>
        <item x="65"/>
        <item x="44"/>
        <item x="38"/>
        <item x="4"/>
        <item x="25"/>
        <item x="40"/>
        <item x="64"/>
        <item x="48"/>
        <item x="27"/>
        <item x="58"/>
        <item x="32"/>
        <item x="62"/>
        <item x="13"/>
        <item x="24"/>
        <item x="45"/>
        <item x="28"/>
        <item x="5"/>
        <item x="54"/>
        <item x="63"/>
        <item x="55"/>
        <item x="30"/>
        <item x="26"/>
        <item x="1"/>
        <item x="35"/>
        <item x="34"/>
        <item x="10"/>
        <item x="23"/>
        <item x="59"/>
        <item x="61"/>
        <item x="2"/>
        <item x="19"/>
        <item x="51"/>
        <item x="7"/>
        <item x="0"/>
        <item x="66"/>
        <item x="46"/>
        <item x="47"/>
        <item x="60"/>
        <item x="20"/>
        <item x="31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8" baseField="1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FFE3B5-615E-4C5F-91D1-43F572AC5856}" autoFormatId="16" applyNumberFormats="0" applyBorderFormats="0" applyFontFormats="0" applyPatternFormats="0" applyAlignmentFormats="0" applyWidthHeightFormats="0">
  <queryTableRefresh nextId="10">
    <queryTableFields count="9">
      <queryTableField id="1" name="Order ID" tableColumnId="1"/>
      <queryTableField id="2" name="Order Date" tableColumnId="2"/>
      <queryTableField id="3" name="Region" tableColumnId="3"/>
      <queryTableField id="4" name="Sales Channel" tableColumnId="4"/>
      <queryTableField id="5" name="Category" tableColumnId="5"/>
      <queryTableField id="6" name="Product" tableColumnId="6"/>
      <queryTableField id="7" name="Quantity" tableColumnId="7"/>
      <queryTableField id="8" name="Unit Price (₹)" tableColumnId="8"/>
      <queryTableField id="9" name="Sal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77978-9198-435A-B0F3-0EBF1121D598}" name="sales_table" displayName="sales_table" ref="A1:I81" tableType="queryTable" totalsRowShown="0">
  <autoFilter ref="A1:I81" xr:uid="{82B77978-9198-435A-B0F3-0EBF1121D598}"/>
  <tableColumns count="9">
    <tableColumn id="1" xr3:uid="{F20F1B33-67D9-4F6B-A57A-C377B4705C87}" uniqueName="1" name="Order ID" queryTableFieldId="1" dataDxfId="5"/>
    <tableColumn id="2" xr3:uid="{CDCF3FC9-57C6-43E6-AC06-2F4DD9127970}" uniqueName="2" name="Order Date" queryTableFieldId="2" dataDxfId="0"/>
    <tableColumn id="3" xr3:uid="{B2D5C39A-A51C-4FFD-92B7-75C401D2028A}" uniqueName="3" name="Region" queryTableFieldId="3" dataDxfId="4"/>
    <tableColumn id="4" xr3:uid="{69110B4D-38B0-4391-B553-FC4EAAB19C76}" uniqueName="4" name="Sales Channel" queryTableFieldId="4" dataDxfId="3"/>
    <tableColumn id="5" xr3:uid="{6B55C32F-CC01-4BD9-AE00-C3DD876AEC50}" uniqueName="5" name="Category" queryTableFieldId="5" dataDxfId="2"/>
    <tableColumn id="6" xr3:uid="{64BC98CB-AE7D-414E-8369-A62616FD2750}" uniqueName="6" name="Product" queryTableFieldId="6" dataDxfId="1"/>
    <tableColumn id="7" xr3:uid="{CF911D61-1A45-4398-93DB-3B1E0206D02F}" uniqueName="7" name="Quantity" queryTableFieldId="7"/>
    <tableColumn id="8" xr3:uid="{FF8DCEC9-857C-4C6D-9133-D3BA70411BAC}" uniqueName="8" name="Unit Price (₹)" queryTableFieldId="8"/>
    <tableColumn id="9" xr3:uid="{9E5A3482-7F62-47C3-81FB-39997F61CF0D}" uniqueName="9" name="Sale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DCD6FC-351A-4F3F-A2FD-D34EE972E414}" name="Table2" displayName="Table2" ref="A1:B7" totalsRowShown="0">
  <autoFilter ref="A1:B7" xr:uid="{75DCD6FC-351A-4F3F-A2FD-D34EE972E414}"/>
  <tableColumns count="2">
    <tableColumn id="1" xr3:uid="{7E76A861-3506-4A27-BDDA-13E4588BDB77}" name="Column1"/>
    <tableColumn id="2" xr3:uid="{10C62BFA-FED6-4CC2-89B6-6FB68ED5DAE8}" name="Column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72DF-3354-45E4-A3F7-B5AB62A7EAD6}">
  <dimension ref="A1:K57"/>
  <sheetViews>
    <sheetView showGridLines="0" showRowColHeaders="0" topLeftCell="A32" workbookViewId="0">
      <selection activeCell="G39" sqref="G39"/>
    </sheetView>
  </sheetViews>
  <sheetFormatPr defaultRowHeight="14.4" x14ac:dyDescent="0.3"/>
  <cols>
    <col min="6" max="7" width="16.5546875" customWidth="1"/>
    <col min="8" max="8" width="8" bestFit="1" customWidth="1"/>
  </cols>
  <sheetData>
    <row r="1" spans="1:11" ht="20.399999999999999" thickBot="1" x14ac:dyDescent="0.45">
      <c r="A1" s="10"/>
      <c r="B1" s="10"/>
      <c r="C1" s="10"/>
      <c r="D1" s="10" t="s">
        <v>134</v>
      </c>
      <c r="E1" s="10"/>
      <c r="F1" s="10"/>
      <c r="G1" s="10"/>
      <c r="H1" s="10"/>
      <c r="I1" s="10"/>
      <c r="J1" s="10"/>
      <c r="K1" s="10"/>
    </row>
    <row r="2" spans="1:11" ht="15" thickTop="1" x14ac:dyDescent="0.3">
      <c r="A2" s="9" t="s">
        <v>135</v>
      </c>
      <c r="B2" s="9"/>
      <c r="D2" s="9" t="s">
        <v>114</v>
      </c>
      <c r="E2" s="9"/>
      <c r="F2" s="9" t="s">
        <v>115</v>
      </c>
      <c r="H2" s="8"/>
      <c r="I2" s="9" t="s">
        <v>116</v>
      </c>
      <c r="J2" s="9"/>
    </row>
    <row r="3" spans="1:11" x14ac:dyDescent="0.3">
      <c r="A3" s="9">
        <f>summary!B4</f>
        <v>198443.58999999997</v>
      </c>
      <c r="B3" s="9"/>
      <c r="D3" s="9">
        <f>summary!B5</f>
        <v>80</v>
      </c>
      <c r="E3" s="9"/>
      <c r="F3" s="9">
        <f>summary!B6</f>
        <v>251</v>
      </c>
      <c r="H3" s="8"/>
      <c r="I3" s="9">
        <f>summary!B7</f>
        <v>2480.5448749999996</v>
      </c>
      <c r="J3" s="9"/>
    </row>
    <row r="35" spans="1:6" ht="20.399999999999999" thickBot="1" x14ac:dyDescent="0.45">
      <c r="C35" s="10" t="s">
        <v>150</v>
      </c>
      <c r="D35" s="10"/>
      <c r="E35" s="10"/>
    </row>
    <row r="36" spans="1:6" ht="21.6" thickTop="1" x14ac:dyDescent="0.4">
      <c r="A36" s="15" t="s">
        <v>136</v>
      </c>
      <c r="B36" s="12"/>
      <c r="C36" s="12"/>
    </row>
    <row r="37" spans="1:6" x14ac:dyDescent="0.3">
      <c r="A37" s="11"/>
    </row>
    <row r="38" spans="1:6" x14ac:dyDescent="0.3">
      <c r="A38" s="13" t="s">
        <v>137</v>
      </c>
      <c r="B38" s="14"/>
      <c r="C38" s="14"/>
      <c r="D38" s="14"/>
      <c r="E38" s="14"/>
      <c r="F38" s="14"/>
    </row>
    <row r="39" spans="1:6" x14ac:dyDescent="0.3">
      <c r="A39" s="13" t="s">
        <v>138</v>
      </c>
      <c r="B39" s="14"/>
      <c r="C39" s="14"/>
      <c r="D39" s="14"/>
      <c r="E39" s="14"/>
      <c r="F39" s="14"/>
    </row>
    <row r="40" spans="1:6" x14ac:dyDescent="0.3">
      <c r="A40" s="13" t="s">
        <v>139</v>
      </c>
      <c r="B40" s="14"/>
      <c r="C40" s="14"/>
      <c r="D40" s="14"/>
      <c r="E40" s="14"/>
      <c r="F40" s="14"/>
    </row>
    <row r="41" spans="1:6" x14ac:dyDescent="0.3">
      <c r="A41" s="7"/>
    </row>
    <row r="42" spans="1:6" ht="21" x14ac:dyDescent="0.4">
      <c r="A42" s="15" t="s">
        <v>140</v>
      </c>
      <c r="B42" s="12"/>
      <c r="C42" s="12"/>
      <c r="D42" s="12"/>
    </row>
    <row r="43" spans="1:6" x14ac:dyDescent="0.3">
      <c r="A43" s="11"/>
    </row>
    <row r="44" spans="1:6" x14ac:dyDescent="0.3">
      <c r="A44" s="13" t="s">
        <v>141</v>
      </c>
      <c r="B44" s="14"/>
      <c r="C44" s="14"/>
      <c r="D44" s="14"/>
      <c r="E44" s="14"/>
    </row>
    <row r="45" spans="1:6" x14ac:dyDescent="0.3">
      <c r="A45" s="13" t="s">
        <v>142</v>
      </c>
      <c r="B45" s="14"/>
      <c r="C45" s="14"/>
      <c r="D45" s="14"/>
      <c r="E45" s="14"/>
    </row>
    <row r="47" spans="1:6" ht="21" x14ac:dyDescent="0.4">
      <c r="A47" s="15" t="s">
        <v>143</v>
      </c>
      <c r="B47" s="12"/>
      <c r="C47" s="12"/>
      <c r="D47" s="12"/>
    </row>
    <row r="48" spans="1:6" x14ac:dyDescent="0.3">
      <c r="A48" s="11"/>
    </row>
    <row r="49" spans="1:7" x14ac:dyDescent="0.3">
      <c r="A49" s="13" t="s">
        <v>144</v>
      </c>
      <c r="B49" s="14"/>
      <c r="C49" s="14"/>
      <c r="D49" s="14"/>
      <c r="E49" s="14"/>
      <c r="F49" s="14"/>
      <c r="G49" s="14"/>
    </row>
    <row r="50" spans="1:7" x14ac:dyDescent="0.3">
      <c r="A50" s="13" t="s">
        <v>145</v>
      </c>
      <c r="B50" s="14"/>
      <c r="C50" s="14"/>
      <c r="D50" s="14"/>
      <c r="E50" s="14"/>
      <c r="F50" s="14"/>
      <c r="G50" s="14"/>
    </row>
    <row r="51" spans="1:7" x14ac:dyDescent="0.3">
      <c r="A51" s="13" t="s">
        <v>151</v>
      </c>
      <c r="B51" s="14"/>
      <c r="C51" s="14"/>
      <c r="D51" s="14"/>
      <c r="E51" s="14"/>
      <c r="F51" s="14"/>
      <c r="G51" s="14"/>
    </row>
    <row r="53" spans="1:7" ht="21" x14ac:dyDescent="0.4">
      <c r="A53" s="15" t="s">
        <v>146</v>
      </c>
      <c r="B53" s="12"/>
      <c r="C53" s="12"/>
      <c r="D53" s="12"/>
    </row>
    <row r="54" spans="1:7" x14ac:dyDescent="0.3">
      <c r="A54" s="11"/>
    </row>
    <row r="55" spans="1:7" x14ac:dyDescent="0.3">
      <c r="A55" s="13" t="s">
        <v>147</v>
      </c>
      <c r="B55" s="14"/>
      <c r="C55" s="14"/>
      <c r="D55" s="14"/>
      <c r="E55" s="14"/>
      <c r="F55" s="14"/>
      <c r="G55" s="14"/>
    </row>
    <row r="56" spans="1:7" x14ac:dyDescent="0.3">
      <c r="A56" s="13" t="s">
        <v>148</v>
      </c>
      <c r="B56" s="14"/>
      <c r="C56" s="14"/>
      <c r="D56" s="14"/>
      <c r="E56" s="14"/>
      <c r="F56" s="14"/>
      <c r="G56" s="14"/>
    </row>
    <row r="57" spans="1:7" x14ac:dyDescent="0.3">
      <c r="A57" s="13" t="s">
        <v>149</v>
      </c>
      <c r="B57" s="14"/>
      <c r="C57" s="14"/>
      <c r="D57" s="14"/>
      <c r="E57" s="14"/>
      <c r="F57" s="14"/>
      <c r="G57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2DBA-4672-45CA-A815-78D7505C9CCC}">
  <dimension ref="A3:B41"/>
  <sheetViews>
    <sheetView topLeftCell="A19" workbookViewId="0">
      <selection activeCell="L35" sqref="L35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  <col min="4" max="4" width="10.77734375" bestFit="1" customWidth="1"/>
  </cols>
  <sheetData>
    <row r="3" spans="1:2" x14ac:dyDescent="0.3">
      <c r="A3" s="4" t="s">
        <v>119</v>
      </c>
      <c r="B3" t="s">
        <v>133</v>
      </c>
    </row>
    <row r="4" spans="1:2" x14ac:dyDescent="0.3">
      <c r="A4" s="5" t="s">
        <v>121</v>
      </c>
      <c r="B4" s="6">
        <v>16320.87</v>
      </c>
    </row>
    <row r="5" spans="1:2" x14ac:dyDescent="0.3">
      <c r="A5" s="5" t="s">
        <v>122</v>
      </c>
      <c r="B5" s="6">
        <v>10838.169999999998</v>
      </c>
    </row>
    <row r="6" spans="1:2" x14ac:dyDescent="0.3">
      <c r="A6" s="5" t="s">
        <v>123</v>
      </c>
      <c r="B6" s="6">
        <v>14448.52</v>
      </c>
    </row>
    <row r="7" spans="1:2" x14ac:dyDescent="0.3">
      <c r="A7" s="5" t="s">
        <v>124</v>
      </c>
      <c r="B7" s="6">
        <v>11213.48</v>
      </c>
    </row>
    <row r="8" spans="1:2" x14ac:dyDescent="0.3">
      <c r="A8" s="5" t="s">
        <v>125</v>
      </c>
      <c r="B8" s="6">
        <v>24056.319999999996</v>
      </c>
    </row>
    <row r="9" spans="1:2" x14ac:dyDescent="0.3">
      <c r="A9" s="5" t="s">
        <v>126</v>
      </c>
      <c r="B9" s="6">
        <v>15917.230000000001</v>
      </c>
    </row>
    <row r="10" spans="1:2" x14ac:dyDescent="0.3">
      <c r="A10" s="5" t="s">
        <v>127</v>
      </c>
      <c r="B10" s="6">
        <v>19186.43</v>
      </c>
    </row>
    <row r="11" spans="1:2" x14ac:dyDescent="0.3">
      <c r="A11" s="5" t="s">
        <v>128</v>
      </c>
      <c r="B11" s="6">
        <v>23400.280000000002</v>
      </c>
    </row>
    <row r="12" spans="1:2" x14ac:dyDescent="0.3">
      <c r="A12" s="5" t="s">
        <v>129</v>
      </c>
      <c r="B12" s="6">
        <v>2426.84</v>
      </c>
    </row>
    <row r="13" spans="1:2" x14ac:dyDescent="0.3">
      <c r="A13" s="5" t="s">
        <v>130</v>
      </c>
      <c r="B13" s="6">
        <v>28395.91</v>
      </c>
    </row>
    <row r="14" spans="1:2" x14ac:dyDescent="0.3">
      <c r="A14" s="5" t="s">
        <v>131</v>
      </c>
      <c r="B14" s="6">
        <v>21561.219999999998</v>
      </c>
    </row>
    <row r="15" spans="1:2" x14ac:dyDescent="0.3">
      <c r="A15" s="5" t="s">
        <v>132</v>
      </c>
      <c r="B15" s="6">
        <v>10678.320000000002</v>
      </c>
    </row>
    <row r="16" spans="1:2" x14ac:dyDescent="0.3">
      <c r="A16" s="5" t="s">
        <v>120</v>
      </c>
      <c r="B16" s="6">
        <v>198443.59</v>
      </c>
    </row>
    <row r="18" spans="1:2" x14ac:dyDescent="0.3">
      <c r="A18" s="4" t="s">
        <v>119</v>
      </c>
      <c r="B18" t="s">
        <v>133</v>
      </c>
    </row>
    <row r="19" spans="1:2" x14ac:dyDescent="0.3">
      <c r="A19" s="5" t="s">
        <v>39</v>
      </c>
      <c r="B19" s="6">
        <v>40367.49</v>
      </c>
    </row>
    <row r="20" spans="1:2" x14ac:dyDescent="0.3">
      <c r="A20" s="5" t="s">
        <v>12</v>
      </c>
      <c r="B20" s="6">
        <v>92814.210000000021</v>
      </c>
    </row>
    <row r="21" spans="1:2" x14ac:dyDescent="0.3">
      <c r="A21" s="5" t="s">
        <v>27</v>
      </c>
      <c r="B21" s="6">
        <v>48726.94000000001</v>
      </c>
    </row>
    <row r="22" spans="1:2" x14ac:dyDescent="0.3">
      <c r="A22" s="5" t="s">
        <v>30</v>
      </c>
      <c r="B22" s="6">
        <v>16534.950000000004</v>
      </c>
    </row>
    <row r="23" spans="1:2" x14ac:dyDescent="0.3">
      <c r="A23" s="5" t="s">
        <v>120</v>
      </c>
      <c r="B23" s="6">
        <v>198443.59000000003</v>
      </c>
    </row>
    <row r="35" spans="1:2" x14ac:dyDescent="0.3">
      <c r="A35" s="4" t="s">
        <v>119</v>
      </c>
      <c r="B35" t="s">
        <v>133</v>
      </c>
    </row>
    <row r="36" spans="1:2" x14ac:dyDescent="0.3">
      <c r="A36" s="5" t="s">
        <v>10</v>
      </c>
      <c r="B36" s="6">
        <v>51948.05000000001</v>
      </c>
    </row>
    <row r="37" spans="1:2" x14ac:dyDescent="0.3">
      <c r="A37" s="5" t="s">
        <v>21</v>
      </c>
      <c r="B37" s="6">
        <v>50490.49</v>
      </c>
    </row>
    <row r="38" spans="1:2" x14ac:dyDescent="0.3">
      <c r="A38" s="5" t="s">
        <v>15</v>
      </c>
      <c r="B38" s="6">
        <v>45206.53</v>
      </c>
    </row>
    <row r="39" spans="1:2" x14ac:dyDescent="0.3">
      <c r="A39" s="5" t="s">
        <v>18</v>
      </c>
      <c r="B39" s="6">
        <v>42118.639999999992</v>
      </c>
    </row>
    <row r="40" spans="1:2" x14ac:dyDescent="0.3">
      <c r="A40" s="5" t="s">
        <v>26</v>
      </c>
      <c r="B40" s="6">
        <v>8679.8799999999992</v>
      </c>
    </row>
    <row r="41" spans="1:2" x14ac:dyDescent="0.3">
      <c r="A41" s="5" t="s">
        <v>120</v>
      </c>
      <c r="B41" s="6">
        <v>198443.59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FE0E-15B3-4592-B5A8-6DA7FC7206E8}">
  <dimension ref="A1:I81"/>
  <sheetViews>
    <sheetView tabSelected="1" topLeftCell="A13" workbookViewId="0">
      <selection activeCell="H31" sqref="H31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9" bestFit="1" customWidth="1"/>
    <col min="4" max="4" width="14.77734375" bestFit="1" customWidth="1"/>
    <col min="5" max="5" width="14.21875" bestFit="1" customWidth="1"/>
    <col min="6" max="6" width="14" bestFit="1" customWidth="1"/>
    <col min="7" max="7" width="10.5546875" bestFit="1" customWidth="1"/>
    <col min="8" max="8" width="14.109375" bestFit="1" customWidth="1"/>
    <col min="9" max="9" width="9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45985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>
        <v>681.77</v>
      </c>
      <c r="I2">
        <v>2045.31</v>
      </c>
    </row>
    <row r="3" spans="1:9" x14ac:dyDescent="0.3">
      <c r="A3" t="s">
        <v>14</v>
      </c>
      <c r="B3" s="1">
        <v>45937</v>
      </c>
      <c r="C3" t="s">
        <v>15</v>
      </c>
      <c r="D3" t="s">
        <v>11</v>
      </c>
      <c r="E3" t="s">
        <v>12</v>
      </c>
      <c r="F3" t="s">
        <v>16</v>
      </c>
      <c r="G3">
        <v>4</v>
      </c>
      <c r="H3">
        <v>1712.13</v>
      </c>
      <c r="I3">
        <v>6848.52</v>
      </c>
    </row>
    <row r="4" spans="1:9" x14ac:dyDescent="0.3">
      <c r="A4" t="s">
        <v>17</v>
      </c>
      <c r="B4" s="1">
        <v>45966</v>
      </c>
      <c r="C4" t="s">
        <v>18</v>
      </c>
      <c r="D4" t="s">
        <v>11</v>
      </c>
      <c r="E4" t="s">
        <v>12</v>
      </c>
      <c r="F4" t="s">
        <v>16</v>
      </c>
      <c r="G4">
        <v>2</v>
      </c>
      <c r="H4">
        <v>1797.89</v>
      </c>
      <c r="I4">
        <v>3595.78</v>
      </c>
    </row>
    <row r="5" spans="1:9" x14ac:dyDescent="0.3">
      <c r="A5" t="s">
        <v>19</v>
      </c>
      <c r="B5" s="1">
        <v>45800</v>
      </c>
      <c r="C5" t="s">
        <v>10</v>
      </c>
      <c r="D5" t="s">
        <v>11</v>
      </c>
      <c r="E5" t="s">
        <v>12</v>
      </c>
      <c r="F5" t="s">
        <v>13</v>
      </c>
      <c r="G5">
        <v>4</v>
      </c>
      <c r="H5">
        <v>721.88</v>
      </c>
      <c r="I5">
        <v>2887.52</v>
      </c>
    </row>
    <row r="6" spans="1:9" x14ac:dyDescent="0.3">
      <c r="A6" t="s">
        <v>20</v>
      </c>
      <c r="B6" s="1">
        <v>45830</v>
      </c>
      <c r="C6" t="s">
        <v>21</v>
      </c>
      <c r="D6" t="s">
        <v>22</v>
      </c>
      <c r="E6" t="s">
        <v>12</v>
      </c>
      <c r="F6" t="s">
        <v>13</v>
      </c>
      <c r="G6">
        <v>4</v>
      </c>
      <c r="H6">
        <v>700.42</v>
      </c>
      <c r="I6">
        <v>2801.68</v>
      </c>
    </row>
    <row r="7" spans="1:9" x14ac:dyDescent="0.3">
      <c r="A7" t="s">
        <v>23</v>
      </c>
      <c r="B7" s="1">
        <v>45893</v>
      </c>
      <c r="C7" t="s">
        <v>21</v>
      </c>
      <c r="D7" t="s">
        <v>11</v>
      </c>
      <c r="E7" t="s">
        <v>12</v>
      </c>
      <c r="F7" t="s">
        <v>24</v>
      </c>
      <c r="G7">
        <v>1</v>
      </c>
      <c r="H7">
        <v>1266.01</v>
      </c>
      <c r="I7">
        <v>1266.01</v>
      </c>
    </row>
    <row r="8" spans="1:9" x14ac:dyDescent="0.3">
      <c r="A8" t="s">
        <v>25</v>
      </c>
      <c r="B8" s="1">
        <v>45681</v>
      </c>
      <c r="C8" t="s">
        <v>26</v>
      </c>
      <c r="D8" t="s">
        <v>22</v>
      </c>
      <c r="E8" t="s">
        <v>27</v>
      </c>
      <c r="F8" t="s">
        <v>28</v>
      </c>
      <c r="G8">
        <v>1</v>
      </c>
      <c r="H8">
        <v>480.58</v>
      </c>
      <c r="I8">
        <v>480.58</v>
      </c>
    </row>
    <row r="9" spans="1:9" x14ac:dyDescent="0.3">
      <c r="A9" t="s">
        <v>29</v>
      </c>
      <c r="B9" s="1">
        <v>45983</v>
      </c>
      <c r="C9" t="s">
        <v>21</v>
      </c>
      <c r="D9" t="s">
        <v>11</v>
      </c>
      <c r="E9" t="s">
        <v>30</v>
      </c>
      <c r="F9" t="s">
        <v>31</v>
      </c>
      <c r="G9">
        <v>3</v>
      </c>
      <c r="H9">
        <v>227.48</v>
      </c>
      <c r="I9">
        <v>682.44</v>
      </c>
    </row>
    <row r="10" spans="1:9" x14ac:dyDescent="0.3">
      <c r="A10" t="s">
        <v>32</v>
      </c>
      <c r="B10" s="1">
        <v>45745</v>
      </c>
      <c r="C10" t="s">
        <v>10</v>
      </c>
      <c r="D10" t="s">
        <v>22</v>
      </c>
      <c r="E10" t="s">
        <v>27</v>
      </c>
      <c r="F10" t="s">
        <v>33</v>
      </c>
      <c r="G10">
        <v>4</v>
      </c>
      <c r="H10">
        <v>379.9</v>
      </c>
      <c r="I10">
        <v>1519.6</v>
      </c>
    </row>
    <row r="11" spans="1:9" x14ac:dyDescent="0.3">
      <c r="A11" t="s">
        <v>34</v>
      </c>
      <c r="B11" s="1">
        <v>45686</v>
      </c>
      <c r="C11" t="s">
        <v>15</v>
      </c>
      <c r="D11" t="s">
        <v>11</v>
      </c>
      <c r="E11" t="s">
        <v>27</v>
      </c>
      <c r="F11" t="s">
        <v>33</v>
      </c>
      <c r="G11">
        <v>3</v>
      </c>
      <c r="H11">
        <v>385.31</v>
      </c>
      <c r="I11">
        <v>1155.93</v>
      </c>
    </row>
    <row r="12" spans="1:9" x14ac:dyDescent="0.3">
      <c r="A12" t="s">
        <v>35</v>
      </c>
      <c r="B12" s="1">
        <v>45948</v>
      </c>
      <c r="C12" t="s">
        <v>18</v>
      </c>
      <c r="D12" t="s">
        <v>11</v>
      </c>
      <c r="E12" t="s">
        <v>30</v>
      </c>
      <c r="F12" t="s">
        <v>31</v>
      </c>
      <c r="G12">
        <v>4</v>
      </c>
      <c r="H12">
        <v>210.82</v>
      </c>
      <c r="I12">
        <v>843.28</v>
      </c>
    </row>
    <row r="13" spans="1:9" x14ac:dyDescent="0.3">
      <c r="A13" t="s">
        <v>36</v>
      </c>
      <c r="B13" s="1">
        <v>45784</v>
      </c>
      <c r="C13" t="s">
        <v>18</v>
      </c>
      <c r="D13" t="s">
        <v>22</v>
      </c>
      <c r="E13" t="s">
        <v>30</v>
      </c>
      <c r="F13" t="s">
        <v>37</v>
      </c>
      <c r="G13">
        <v>5</v>
      </c>
      <c r="H13">
        <v>426.71</v>
      </c>
      <c r="I13">
        <v>2133.5500000000002</v>
      </c>
    </row>
    <row r="14" spans="1:9" x14ac:dyDescent="0.3">
      <c r="A14" t="s">
        <v>38</v>
      </c>
      <c r="B14" s="1">
        <v>45728</v>
      </c>
      <c r="C14" t="s">
        <v>10</v>
      </c>
      <c r="D14" t="s">
        <v>11</v>
      </c>
      <c r="E14" t="s">
        <v>39</v>
      </c>
      <c r="F14" t="s">
        <v>40</v>
      </c>
      <c r="G14">
        <v>1</v>
      </c>
      <c r="H14">
        <v>1503.96</v>
      </c>
      <c r="I14">
        <v>1503.96</v>
      </c>
    </row>
    <row r="15" spans="1:9" x14ac:dyDescent="0.3">
      <c r="A15" t="s">
        <v>41</v>
      </c>
      <c r="B15" s="1">
        <v>45874</v>
      </c>
      <c r="C15" t="s">
        <v>18</v>
      </c>
      <c r="D15" t="s">
        <v>22</v>
      </c>
      <c r="E15" t="s">
        <v>12</v>
      </c>
      <c r="F15" t="s">
        <v>24</v>
      </c>
      <c r="G15">
        <v>4</v>
      </c>
      <c r="H15">
        <v>1336.36</v>
      </c>
      <c r="I15">
        <v>5345.44</v>
      </c>
    </row>
    <row r="16" spans="1:9" x14ac:dyDescent="0.3">
      <c r="A16" t="s">
        <v>42</v>
      </c>
      <c r="B16" s="1">
        <v>45663</v>
      </c>
      <c r="C16" t="s">
        <v>21</v>
      </c>
      <c r="D16" t="s">
        <v>11</v>
      </c>
      <c r="E16" t="s">
        <v>12</v>
      </c>
      <c r="F16" t="s">
        <v>16</v>
      </c>
      <c r="G16">
        <v>5</v>
      </c>
      <c r="H16">
        <v>1736.23</v>
      </c>
      <c r="I16">
        <v>8681.15</v>
      </c>
    </row>
    <row r="17" spans="1:9" x14ac:dyDescent="0.3">
      <c r="A17" t="s">
        <v>43</v>
      </c>
      <c r="B17" s="1">
        <v>45738</v>
      </c>
      <c r="C17" t="s">
        <v>10</v>
      </c>
      <c r="D17" t="s">
        <v>11</v>
      </c>
      <c r="E17" t="s">
        <v>39</v>
      </c>
      <c r="F17" t="s">
        <v>40</v>
      </c>
      <c r="G17">
        <v>3</v>
      </c>
      <c r="H17">
        <v>1528.12</v>
      </c>
      <c r="I17">
        <v>4584.3599999999997</v>
      </c>
    </row>
    <row r="18" spans="1:9" x14ac:dyDescent="0.3">
      <c r="A18" t="s">
        <v>44</v>
      </c>
      <c r="B18" s="1">
        <v>45810</v>
      </c>
      <c r="C18" t="s">
        <v>15</v>
      </c>
      <c r="D18" t="s">
        <v>22</v>
      </c>
      <c r="E18" t="s">
        <v>27</v>
      </c>
      <c r="F18" t="s">
        <v>33</v>
      </c>
      <c r="G18">
        <v>3</v>
      </c>
      <c r="H18">
        <v>352.62</v>
      </c>
      <c r="I18">
        <v>1057.8599999999999</v>
      </c>
    </row>
    <row r="19" spans="1:9" x14ac:dyDescent="0.3">
      <c r="A19" t="s">
        <v>45</v>
      </c>
      <c r="B19" s="1">
        <v>45715</v>
      </c>
      <c r="C19" t="s">
        <v>15</v>
      </c>
      <c r="D19" t="s">
        <v>11</v>
      </c>
      <c r="E19" t="s">
        <v>30</v>
      </c>
      <c r="F19" t="s">
        <v>46</v>
      </c>
      <c r="G19">
        <v>2</v>
      </c>
      <c r="H19">
        <v>127.32</v>
      </c>
      <c r="I19">
        <v>254.64</v>
      </c>
    </row>
    <row r="20" spans="1:9" x14ac:dyDescent="0.3">
      <c r="A20" t="s">
        <v>47</v>
      </c>
      <c r="B20" s="1">
        <v>45693</v>
      </c>
      <c r="C20" t="s">
        <v>10</v>
      </c>
      <c r="D20" t="s">
        <v>22</v>
      </c>
      <c r="E20" t="s">
        <v>27</v>
      </c>
      <c r="F20" t="s">
        <v>33</v>
      </c>
      <c r="G20">
        <v>4</v>
      </c>
      <c r="H20">
        <v>355.63</v>
      </c>
      <c r="I20">
        <v>1422.52</v>
      </c>
    </row>
    <row r="21" spans="1:9" x14ac:dyDescent="0.3">
      <c r="A21" t="s">
        <v>48</v>
      </c>
      <c r="B21" s="1">
        <v>45968</v>
      </c>
      <c r="C21" t="s">
        <v>10</v>
      </c>
      <c r="D21" t="s">
        <v>22</v>
      </c>
      <c r="E21" t="s">
        <v>39</v>
      </c>
      <c r="F21" t="s">
        <v>40</v>
      </c>
      <c r="G21">
        <v>5</v>
      </c>
      <c r="H21">
        <v>1382.89</v>
      </c>
      <c r="I21">
        <v>6914.45</v>
      </c>
    </row>
    <row r="22" spans="1:9" x14ac:dyDescent="0.3">
      <c r="A22" t="s">
        <v>49</v>
      </c>
      <c r="B22" s="1">
        <v>46001</v>
      </c>
      <c r="C22" t="s">
        <v>10</v>
      </c>
      <c r="D22" t="s">
        <v>11</v>
      </c>
      <c r="E22" t="s">
        <v>30</v>
      </c>
      <c r="F22" t="s">
        <v>46</v>
      </c>
      <c r="G22">
        <v>5</v>
      </c>
      <c r="H22">
        <v>109.69</v>
      </c>
      <c r="I22">
        <v>548.45000000000005</v>
      </c>
    </row>
    <row r="23" spans="1:9" x14ac:dyDescent="0.3">
      <c r="A23" t="s">
        <v>50</v>
      </c>
      <c r="B23" s="1">
        <v>45668</v>
      </c>
      <c r="C23" t="s">
        <v>15</v>
      </c>
      <c r="D23" t="s">
        <v>11</v>
      </c>
      <c r="E23" t="s">
        <v>27</v>
      </c>
      <c r="F23" t="s">
        <v>51</v>
      </c>
      <c r="G23">
        <v>2</v>
      </c>
      <c r="H23">
        <v>2378.5500000000002</v>
      </c>
      <c r="I23">
        <v>4757.1000000000004</v>
      </c>
    </row>
    <row r="24" spans="1:9" x14ac:dyDescent="0.3">
      <c r="A24" t="s">
        <v>52</v>
      </c>
      <c r="B24" s="1">
        <v>45674</v>
      </c>
      <c r="C24" t="s">
        <v>18</v>
      </c>
      <c r="D24" t="s">
        <v>11</v>
      </c>
      <c r="E24" t="s">
        <v>30</v>
      </c>
      <c r="F24" t="s">
        <v>31</v>
      </c>
      <c r="G24">
        <v>5</v>
      </c>
      <c r="H24">
        <v>224.1</v>
      </c>
      <c r="I24">
        <v>1120.5</v>
      </c>
    </row>
    <row r="25" spans="1:9" x14ac:dyDescent="0.3">
      <c r="A25" t="s">
        <v>53</v>
      </c>
      <c r="B25" s="1">
        <v>45950</v>
      </c>
      <c r="C25" t="s">
        <v>10</v>
      </c>
      <c r="D25" t="s">
        <v>11</v>
      </c>
      <c r="E25" t="s">
        <v>39</v>
      </c>
      <c r="F25" t="s">
        <v>40</v>
      </c>
      <c r="G25">
        <v>4</v>
      </c>
      <c r="H25">
        <v>1289.8499999999999</v>
      </c>
      <c r="I25">
        <v>5159.3999999999996</v>
      </c>
    </row>
    <row r="26" spans="1:9" x14ac:dyDescent="0.3">
      <c r="A26" t="s">
        <v>54</v>
      </c>
      <c r="B26" s="1">
        <v>45878</v>
      </c>
      <c r="C26" t="s">
        <v>15</v>
      </c>
      <c r="D26" t="s">
        <v>11</v>
      </c>
      <c r="E26" t="s">
        <v>30</v>
      </c>
      <c r="F26" t="s">
        <v>46</v>
      </c>
      <c r="G26">
        <v>4</v>
      </c>
      <c r="H26">
        <v>109.6</v>
      </c>
      <c r="I26">
        <v>438.4</v>
      </c>
    </row>
    <row r="27" spans="1:9" x14ac:dyDescent="0.3">
      <c r="A27" t="s">
        <v>55</v>
      </c>
      <c r="B27" s="1">
        <v>45831</v>
      </c>
      <c r="C27" t="s">
        <v>18</v>
      </c>
      <c r="D27" t="s">
        <v>11</v>
      </c>
      <c r="E27" t="s">
        <v>12</v>
      </c>
      <c r="F27" t="s">
        <v>13</v>
      </c>
      <c r="G27">
        <v>2</v>
      </c>
      <c r="H27">
        <v>645.33000000000004</v>
      </c>
      <c r="I27">
        <v>1290.6600000000001</v>
      </c>
    </row>
    <row r="28" spans="1:9" x14ac:dyDescent="0.3">
      <c r="A28" t="s">
        <v>56</v>
      </c>
      <c r="B28" s="1">
        <v>45800</v>
      </c>
      <c r="C28" t="s">
        <v>15</v>
      </c>
      <c r="D28" t="s">
        <v>11</v>
      </c>
      <c r="E28" t="s">
        <v>39</v>
      </c>
      <c r="F28" t="s">
        <v>40</v>
      </c>
      <c r="G28">
        <v>1</v>
      </c>
      <c r="H28">
        <v>1460.86</v>
      </c>
      <c r="I28">
        <v>1460.86</v>
      </c>
    </row>
    <row r="29" spans="1:9" x14ac:dyDescent="0.3">
      <c r="A29" t="s">
        <v>57</v>
      </c>
      <c r="B29" s="1">
        <v>45934</v>
      </c>
      <c r="C29" t="s">
        <v>18</v>
      </c>
      <c r="D29" t="s">
        <v>22</v>
      </c>
      <c r="E29" t="s">
        <v>12</v>
      </c>
      <c r="F29" t="s">
        <v>13</v>
      </c>
      <c r="G29">
        <v>2</v>
      </c>
      <c r="H29">
        <v>615.57000000000005</v>
      </c>
      <c r="I29">
        <v>1231.1400000000001</v>
      </c>
    </row>
    <row r="30" spans="1:9" x14ac:dyDescent="0.3">
      <c r="A30" t="s">
        <v>58</v>
      </c>
      <c r="B30" s="1">
        <v>45863</v>
      </c>
      <c r="C30" t="s">
        <v>18</v>
      </c>
      <c r="D30" t="s">
        <v>22</v>
      </c>
      <c r="E30" t="s">
        <v>12</v>
      </c>
      <c r="F30" t="s">
        <v>13</v>
      </c>
      <c r="G30">
        <v>4</v>
      </c>
      <c r="H30">
        <v>717.49</v>
      </c>
      <c r="I30">
        <v>2869.96</v>
      </c>
    </row>
    <row r="31" spans="1:9" x14ac:dyDescent="0.3">
      <c r="A31" t="s">
        <v>59</v>
      </c>
      <c r="B31" s="1">
        <v>45890</v>
      </c>
      <c r="C31" t="s">
        <v>18</v>
      </c>
      <c r="D31" t="s">
        <v>11</v>
      </c>
      <c r="E31" t="s">
        <v>30</v>
      </c>
      <c r="F31" t="s">
        <v>46</v>
      </c>
      <c r="G31">
        <v>5</v>
      </c>
      <c r="H31">
        <v>113.01</v>
      </c>
      <c r="I31">
        <v>565.04999999999995</v>
      </c>
    </row>
    <row r="32" spans="1:9" x14ac:dyDescent="0.3">
      <c r="A32" t="s">
        <v>60</v>
      </c>
      <c r="B32" s="1">
        <v>45769</v>
      </c>
      <c r="C32" t="s">
        <v>26</v>
      </c>
      <c r="D32" t="s">
        <v>11</v>
      </c>
      <c r="E32" t="s">
        <v>12</v>
      </c>
      <c r="F32" t="s">
        <v>16</v>
      </c>
      <c r="G32">
        <v>5</v>
      </c>
      <c r="H32">
        <v>1639.86</v>
      </c>
      <c r="I32">
        <v>8199.2999999999993</v>
      </c>
    </row>
    <row r="33" spans="1:9" x14ac:dyDescent="0.3">
      <c r="A33" t="s">
        <v>61</v>
      </c>
      <c r="B33" s="1">
        <v>45902</v>
      </c>
      <c r="C33" t="s">
        <v>10</v>
      </c>
      <c r="D33" t="s">
        <v>11</v>
      </c>
      <c r="E33" t="s">
        <v>27</v>
      </c>
      <c r="F33" t="s">
        <v>33</v>
      </c>
      <c r="G33">
        <v>5</v>
      </c>
      <c r="H33">
        <v>360.82</v>
      </c>
      <c r="I33">
        <v>1804.1</v>
      </c>
    </row>
    <row r="34" spans="1:9" x14ac:dyDescent="0.3">
      <c r="A34" t="s">
        <v>62</v>
      </c>
      <c r="B34" s="1">
        <v>46003</v>
      </c>
      <c r="C34" t="s">
        <v>10</v>
      </c>
      <c r="D34" t="s">
        <v>11</v>
      </c>
      <c r="E34" t="s">
        <v>27</v>
      </c>
      <c r="F34" t="s">
        <v>28</v>
      </c>
      <c r="G34">
        <v>1</v>
      </c>
      <c r="H34">
        <v>518.13</v>
      </c>
      <c r="I34">
        <v>518.13</v>
      </c>
    </row>
    <row r="35" spans="1:9" x14ac:dyDescent="0.3">
      <c r="A35" t="s">
        <v>63</v>
      </c>
      <c r="B35" s="1">
        <v>45872</v>
      </c>
      <c r="C35" t="s">
        <v>21</v>
      </c>
      <c r="D35" t="s">
        <v>11</v>
      </c>
      <c r="E35" t="s">
        <v>30</v>
      </c>
      <c r="F35" t="s">
        <v>46</v>
      </c>
      <c r="G35">
        <v>2</v>
      </c>
      <c r="H35">
        <v>115.01</v>
      </c>
      <c r="I35">
        <v>230.02</v>
      </c>
    </row>
    <row r="36" spans="1:9" x14ac:dyDescent="0.3">
      <c r="A36" t="s">
        <v>64</v>
      </c>
      <c r="B36" s="1">
        <v>45725</v>
      </c>
      <c r="C36" t="s">
        <v>15</v>
      </c>
      <c r="D36" t="s">
        <v>11</v>
      </c>
      <c r="E36" t="s">
        <v>30</v>
      </c>
      <c r="F36" t="s">
        <v>46</v>
      </c>
      <c r="G36">
        <v>3</v>
      </c>
      <c r="H36">
        <v>120.1</v>
      </c>
      <c r="I36">
        <v>360.3</v>
      </c>
    </row>
    <row r="37" spans="1:9" x14ac:dyDescent="0.3">
      <c r="A37" t="s">
        <v>65</v>
      </c>
      <c r="B37" s="1">
        <v>45946</v>
      </c>
      <c r="C37" t="s">
        <v>21</v>
      </c>
      <c r="D37" t="s">
        <v>11</v>
      </c>
      <c r="E37" t="s">
        <v>12</v>
      </c>
      <c r="F37" t="s">
        <v>13</v>
      </c>
      <c r="G37">
        <v>5</v>
      </c>
      <c r="H37">
        <v>718.46</v>
      </c>
      <c r="I37">
        <v>3592.3</v>
      </c>
    </row>
    <row r="38" spans="1:9" x14ac:dyDescent="0.3">
      <c r="A38" t="s">
        <v>66</v>
      </c>
      <c r="B38" s="1">
        <v>45693</v>
      </c>
      <c r="C38" t="s">
        <v>21</v>
      </c>
      <c r="D38" t="s">
        <v>11</v>
      </c>
      <c r="E38" t="s">
        <v>27</v>
      </c>
      <c r="F38" t="s">
        <v>28</v>
      </c>
      <c r="G38">
        <v>3</v>
      </c>
      <c r="H38">
        <v>523.46</v>
      </c>
      <c r="I38">
        <v>1570.38</v>
      </c>
    </row>
    <row r="39" spans="1:9" x14ac:dyDescent="0.3">
      <c r="A39" t="s">
        <v>67</v>
      </c>
      <c r="B39" s="1">
        <v>45941</v>
      </c>
      <c r="C39" t="s">
        <v>10</v>
      </c>
      <c r="D39" t="s">
        <v>22</v>
      </c>
      <c r="E39" t="s">
        <v>30</v>
      </c>
      <c r="F39" t="s">
        <v>37</v>
      </c>
      <c r="G39">
        <v>1</v>
      </c>
      <c r="H39">
        <v>416.43</v>
      </c>
      <c r="I39">
        <v>416.43</v>
      </c>
    </row>
    <row r="40" spans="1:9" x14ac:dyDescent="0.3">
      <c r="A40" t="s">
        <v>68</v>
      </c>
      <c r="B40" s="1">
        <v>45712</v>
      </c>
      <c r="C40" t="s">
        <v>10</v>
      </c>
      <c r="D40" t="s">
        <v>11</v>
      </c>
      <c r="E40" t="s">
        <v>27</v>
      </c>
      <c r="F40" t="s">
        <v>28</v>
      </c>
      <c r="G40">
        <v>3</v>
      </c>
      <c r="H40">
        <v>525.62</v>
      </c>
      <c r="I40">
        <v>1576.86</v>
      </c>
    </row>
    <row r="41" spans="1:9" x14ac:dyDescent="0.3">
      <c r="A41" t="s">
        <v>69</v>
      </c>
      <c r="B41" s="1">
        <v>45793</v>
      </c>
      <c r="C41" t="s">
        <v>18</v>
      </c>
      <c r="D41" t="s">
        <v>22</v>
      </c>
      <c r="E41" t="s">
        <v>39</v>
      </c>
      <c r="F41" t="s">
        <v>70</v>
      </c>
      <c r="G41">
        <v>1</v>
      </c>
      <c r="H41">
        <v>272.91000000000003</v>
      </c>
      <c r="I41">
        <v>272.91000000000003</v>
      </c>
    </row>
    <row r="42" spans="1:9" x14ac:dyDescent="0.3">
      <c r="A42" t="s">
        <v>71</v>
      </c>
      <c r="B42" s="1">
        <v>45828</v>
      </c>
      <c r="C42" t="s">
        <v>18</v>
      </c>
      <c r="D42" t="s">
        <v>22</v>
      </c>
      <c r="E42" t="s">
        <v>27</v>
      </c>
      <c r="F42" t="s">
        <v>51</v>
      </c>
      <c r="G42">
        <v>3</v>
      </c>
      <c r="H42">
        <v>2660.84</v>
      </c>
      <c r="I42">
        <v>7982.52</v>
      </c>
    </row>
    <row r="43" spans="1:9" x14ac:dyDescent="0.3">
      <c r="A43" t="s">
        <v>72</v>
      </c>
      <c r="B43" s="1">
        <v>45715</v>
      </c>
      <c r="C43" t="s">
        <v>21</v>
      </c>
      <c r="D43" t="s">
        <v>11</v>
      </c>
      <c r="E43" t="s">
        <v>12</v>
      </c>
      <c r="F43" t="s">
        <v>16</v>
      </c>
      <c r="G43">
        <v>2</v>
      </c>
      <c r="H43">
        <v>1790.2</v>
      </c>
      <c r="I43">
        <v>3580.4</v>
      </c>
    </row>
    <row r="44" spans="1:9" x14ac:dyDescent="0.3">
      <c r="A44" t="s">
        <v>73</v>
      </c>
      <c r="B44" s="1">
        <v>45679</v>
      </c>
      <c r="C44" t="s">
        <v>10</v>
      </c>
      <c r="D44" t="s">
        <v>11</v>
      </c>
      <c r="E44" t="s">
        <v>30</v>
      </c>
      <c r="F44" t="s">
        <v>46</v>
      </c>
      <c r="G44">
        <v>1</v>
      </c>
      <c r="H44">
        <v>125.61</v>
      </c>
      <c r="I44">
        <v>125.61</v>
      </c>
    </row>
    <row r="45" spans="1:9" x14ac:dyDescent="0.3">
      <c r="A45" t="s">
        <v>74</v>
      </c>
      <c r="B45" s="1">
        <v>45839</v>
      </c>
      <c r="C45" t="s">
        <v>10</v>
      </c>
      <c r="D45" t="s">
        <v>11</v>
      </c>
      <c r="E45" t="s">
        <v>39</v>
      </c>
      <c r="F45" t="s">
        <v>75</v>
      </c>
      <c r="G45">
        <v>2</v>
      </c>
      <c r="H45">
        <v>278.69</v>
      </c>
      <c r="I45">
        <v>557.38</v>
      </c>
    </row>
    <row r="46" spans="1:9" x14ac:dyDescent="0.3">
      <c r="A46" t="s">
        <v>76</v>
      </c>
      <c r="B46" s="1">
        <v>45748</v>
      </c>
      <c r="C46" t="s">
        <v>21</v>
      </c>
      <c r="D46" t="s">
        <v>22</v>
      </c>
      <c r="E46" t="s">
        <v>39</v>
      </c>
      <c r="F46" t="s">
        <v>40</v>
      </c>
      <c r="G46">
        <v>2</v>
      </c>
      <c r="H46">
        <v>1507.09</v>
      </c>
      <c r="I46">
        <v>3014.18</v>
      </c>
    </row>
    <row r="47" spans="1:9" x14ac:dyDescent="0.3">
      <c r="A47" t="s">
        <v>77</v>
      </c>
      <c r="B47" s="1">
        <v>45785</v>
      </c>
      <c r="C47" t="s">
        <v>15</v>
      </c>
      <c r="D47" t="s">
        <v>22</v>
      </c>
      <c r="E47" t="s">
        <v>30</v>
      </c>
      <c r="F47" t="s">
        <v>31</v>
      </c>
      <c r="G47">
        <v>1</v>
      </c>
      <c r="H47">
        <v>208.77</v>
      </c>
      <c r="I47">
        <v>208.77</v>
      </c>
    </row>
    <row r="48" spans="1:9" x14ac:dyDescent="0.3">
      <c r="A48" t="s">
        <v>78</v>
      </c>
      <c r="B48" s="1">
        <v>45893</v>
      </c>
      <c r="C48" t="s">
        <v>10</v>
      </c>
      <c r="D48" t="s">
        <v>22</v>
      </c>
      <c r="E48" t="s">
        <v>30</v>
      </c>
      <c r="F48" t="s">
        <v>46</v>
      </c>
      <c r="G48">
        <v>2</v>
      </c>
      <c r="H48">
        <v>116.67</v>
      </c>
      <c r="I48">
        <v>233.34</v>
      </c>
    </row>
    <row r="49" spans="1:9" x14ac:dyDescent="0.3">
      <c r="A49" t="s">
        <v>79</v>
      </c>
      <c r="B49" s="1">
        <v>45693</v>
      </c>
      <c r="C49" t="s">
        <v>21</v>
      </c>
      <c r="D49" t="s">
        <v>11</v>
      </c>
      <c r="E49" t="s">
        <v>30</v>
      </c>
      <c r="F49" t="s">
        <v>46</v>
      </c>
      <c r="G49">
        <v>5</v>
      </c>
      <c r="H49">
        <v>111.05</v>
      </c>
      <c r="I49">
        <v>555.25</v>
      </c>
    </row>
    <row r="50" spans="1:9" x14ac:dyDescent="0.3">
      <c r="A50" t="s">
        <v>80</v>
      </c>
      <c r="B50" s="1">
        <v>45791</v>
      </c>
      <c r="C50" t="s">
        <v>18</v>
      </c>
      <c r="D50" t="s">
        <v>22</v>
      </c>
      <c r="E50" t="s">
        <v>27</v>
      </c>
      <c r="F50" t="s">
        <v>51</v>
      </c>
      <c r="G50">
        <v>3</v>
      </c>
      <c r="H50">
        <v>2756.73</v>
      </c>
      <c r="I50">
        <v>8270.19</v>
      </c>
    </row>
    <row r="51" spans="1:9" x14ac:dyDescent="0.3">
      <c r="A51" t="s">
        <v>81</v>
      </c>
      <c r="B51" s="1">
        <v>45818</v>
      </c>
      <c r="C51" t="s">
        <v>10</v>
      </c>
      <c r="D51" t="s">
        <v>22</v>
      </c>
      <c r="E51" t="s">
        <v>39</v>
      </c>
      <c r="F51" t="s">
        <v>75</v>
      </c>
      <c r="G51">
        <v>5</v>
      </c>
      <c r="H51">
        <v>227.44</v>
      </c>
      <c r="I51">
        <v>1137.2</v>
      </c>
    </row>
    <row r="52" spans="1:9" x14ac:dyDescent="0.3">
      <c r="A52" t="s">
        <v>82</v>
      </c>
      <c r="B52" s="1">
        <v>45881</v>
      </c>
      <c r="C52" t="s">
        <v>10</v>
      </c>
      <c r="D52" t="s">
        <v>22</v>
      </c>
      <c r="E52" t="s">
        <v>12</v>
      </c>
      <c r="F52" t="s">
        <v>16</v>
      </c>
      <c r="G52">
        <v>5</v>
      </c>
      <c r="H52">
        <v>1790.79</v>
      </c>
      <c r="I52">
        <v>8953.9500000000007</v>
      </c>
    </row>
    <row r="53" spans="1:9" x14ac:dyDescent="0.3">
      <c r="A53" t="s">
        <v>83</v>
      </c>
      <c r="B53" s="1">
        <v>45998</v>
      </c>
      <c r="C53" t="s">
        <v>15</v>
      </c>
      <c r="D53" t="s">
        <v>22</v>
      </c>
      <c r="E53" t="s">
        <v>30</v>
      </c>
      <c r="F53" t="s">
        <v>37</v>
      </c>
      <c r="G53">
        <v>3</v>
      </c>
      <c r="H53">
        <v>455.21</v>
      </c>
      <c r="I53">
        <v>1365.63</v>
      </c>
    </row>
    <row r="54" spans="1:9" x14ac:dyDescent="0.3">
      <c r="A54" t="s">
        <v>84</v>
      </c>
      <c r="B54" s="1">
        <v>45999</v>
      </c>
      <c r="C54" t="s">
        <v>10</v>
      </c>
      <c r="D54" t="s">
        <v>11</v>
      </c>
      <c r="E54" t="s">
        <v>39</v>
      </c>
      <c r="F54" t="s">
        <v>70</v>
      </c>
      <c r="G54">
        <v>4</v>
      </c>
      <c r="H54">
        <v>297.75</v>
      </c>
      <c r="I54">
        <v>1191</v>
      </c>
    </row>
    <row r="55" spans="1:9" x14ac:dyDescent="0.3">
      <c r="A55" t="s">
        <v>85</v>
      </c>
      <c r="B55" s="1">
        <v>45852</v>
      </c>
      <c r="C55" t="s">
        <v>15</v>
      </c>
      <c r="D55" t="s">
        <v>22</v>
      </c>
      <c r="E55" t="s">
        <v>27</v>
      </c>
      <c r="F55" t="s">
        <v>51</v>
      </c>
      <c r="G55">
        <v>5</v>
      </c>
      <c r="H55">
        <v>2504.11</v>
      </c>
      <c r="I55">
        <v>12520.55</v>
      </c>
    </row>
    <row r="56" spans="1:9" x14ac:dyDescent="0.3">
      <c r="A56" t="s">
        <v>86</v>
      </c>
      <c r="B56" s="1">
        <v>45878</v>
      </c>
      <c r="C56" t="s">
        <v>10</v>
      </c>
      <c r="D56" t="s">
        <v>22</v>
      </c>
      <c r="E56" t="s">
        <v>30</v>
      </c>
      <c r="F56" t="s">
        <v>46</v>
      </c>
      <c r="G56">
        <v>4</v>
      </c>
      <c r="H56">
        <v>128.94999999999999</v>
      </c>
      <c r="I56">
        <v>515.79999999999995</v>
      </c>
    </row>
    <row r="57" spans="1:9" x14ac:dyDescent="0.3">
      <c r="A57" t="s">
        <v>87</v>
      </c>
      <c r="B57" s="1">
        <v>45744</v>
      </c>
      <c r="C57" t="s">
        <v>21</v>
      </c>
      <c r="D57" t="s">
        <v>11</v>
      </c>
      <c r="E57" t="s">
        <v>12</v>
      </c>
      <c r="F57" t="s">
        <v>24</v>
      </c>
      <c r="G57">
        <v>5</v>
      </c>
      <c r="H57">
        <v>1296.06</v>
      </c>
      <c r="I57">
        <v>6480.3</v>
      </c>
    </row>
    <row r="58" spans="1:9" x14ac:dyDescent="0.3">
      <c r="A58" t="s">
        <v>88</v>
      </c>
      <c r="B58" s="1">
        <v>45778</v>
      </c>
      <c r="C58" t="s">
        <v>15</v>
      </c>
      <c r="D58" t="s">
        <v>11</v>
      </c>
      <c r="E58" t="s">
        <v>30</v>
      </c>
      <c r="F58" t="s">
        <v>31</v>
      </c>
      <c r="G58">
        <v>2</v>
      </c>
      <c r="H58">
        <v>245.62</v>
      </c>
      <c r="I58">
        <v>491.24</v>
      </c>
    </row>
    <row r="59" spans="1:9" x14ac:dyDescent="0.3">
      <c r="A59" t="s">
        <v>89</v>
      </c>
      <c r="B59" s="1">
        <v>45970</v>
      </c>
      <c r="C59" t="s">
        <v>10</v>
      </c>
      <c r="D59" t="s">
        <v>22</v>
      </c>
      <c r="E59" t="s">
        <v>12</v>
      </c>
      <c r="F59" t="s">
        <v>24</v>
      </c>
      <c r="G59">
        <v>4</v>
      </c>
      <c r="H59">
        <v>1210.52</v>
      </c>
      <c r="I59">
        <v>4842.08</v>
      </c>
    </row>
    <row r="60" spans="1:9" x14ac:dyDescent="0.3">
      <c r="A60" t="s">
        <v>90</v>
      </c>
      <c r="B60" s="1">
        <v>45782</v>
      </c>
      <c r="C60" t="s">
        <v>15</v>
      </c>
      <c r="D60" t="s">
        <v>22</v>
      </c>
      <c r="E60" t="s">
        <v>27</v>
      </c>
      <c r="F60" t="s">
        <v>51</v>
      </c>
      <c r="G60">
        <v>1</v>
      </c>
      <c r="H60">
        <v>2465.1799999999998</v>
      </c>
      <c r="I60">
        <v>2465.1799999999998</v>
      </c>
    </row>
    <row r="61" spans="1:9" x14ac:dyDescent="0.3">
      <c r="A61" t="s">
        <v>91</v>
      </c>
      <c r="B61" s="1">
        <v>46014</v>
      </c>
      <c r="C61" t="s">
        <v>15</v>
      </c>
      <c r="D61" t="s">
        <v>22</v>
      </c>
      <c r="E61" t="s">
        <v>39</v>
      </c>
      <c r="F61" t="s">
        <v>40</v>
      </c>
      <c r="G61">
        <v>5</v>
      </c>
      <c r="H61">
        <v>1301.07</v>
      </c>
      <c r="I61">
        <v>6505.35</v>
      </c>
    </row>
    <row r="62" spans="1:9" x14ac:dyDescent="0.3">
      <c r="A62" t="s">
        <v>92</v>
      </c>
      <c r="B62" s="1">
        <v>45895</v>
      </c>
      <c r="C62" t="s">
        <v>18</v>
      </c>
      <c r="D62" t="s">
        <v>22</v>
      </c>
      <c r="E62" t="s">
        <v>30</v>
      </c>
      <c r="F62" t="s">
        <v>46</v>
      </c>
      <c r="G62">
        <v>5</v>
      </c>
      <c r="H62">
        <v>131.69</v>
      </c>
      <c r="I62">
        <v>658.45</v>
      </c>
    </row>
    <row r="63" spans="1:9" x14ac:dyDescent="0.3">
      <c r="A63" t="s">
        <v>93</v>
      </c>
      <c r="B63" s="1">
        <v>45901</v>
      </c>
      <c r="C63" t="s">
        <v>21</v>
      </c>
      <c r="D63" t="s">
        <v>22</v>
      </c>
      <c r="E63" t="s">
        <v>39</v>
      </c>
      <c r="F63" t="s">
        <v>70</v>
      </c>
      <c r="G63">
        <v>2</v>
      </c>
      <c r="H63">
        <v>311.37</v>
      </c>
      <c r="I63">
        <v>622.74</v>
      </c>
    </row>
    <row r="64" spans="1:9" x14ac:dyDescent="0.3">
      <c r="A64" t="s">
        <v>94</v>
      </c>
      <c r="B64" s="1">
        <v>45798</v>
      </c>
      <c r="C64" t="s">
        <v>21</v>
      </c>
      <c r="D64" t="s">
        <v>22</v>
      </c>
      <c r="E64" t="s">
        <v>39</v>
      </c>
      <c r="F64" t="s">
        <v>40</v>
      </c>
      <c r="G64">
        <v>3</v>
      </c>
      <c r="H64">
        <v>1535.05</v>
      </c>
      <c r="I64">
        <v>4605.1499999999996</v>
      </c>
    </row>
    <row r="65" spans="1:9" x14ac:dyDescent="0.3">
      <c r="A65" t="s">
        <v>95</v>
      </c>
      <c r="B65" s="1">
        <v>45699</v>
      </c>
      <c r="C65" t="s">
        <v>10</v>
      </c>
      <c r="D65" t="s">
        <v>11</v>
      </c>
      <c r="E65" t="s">
        <v>27</v>
      </c>
      <c r="F65" t="s">
        <v>33</v>
      </c>
      <c r="G65">
        <v>2</v>
      </c>
      <c r="H65">
        <v>319.95</v>
      </c>
      <c r="I65">
        <v>639.9</v>
      </c>
    </row>
    <row r="66" spans="1:9" x14ac:dyDescent="0.3">
      <c r="A66" t="s">
        <v>96</v>
      </c>
      <c r="B66" s="1">
        <v>45866</v>
      </c>
      <c r="C66" t="s">
        <v>10</v>
      </c>
      <c r="D66" t="s">
        <v>22</v>
      </c>
      <c r="E66" t="s">
        <v>30</v>
      </c>
      <c r="F66" t="s">
        <v>37</v>
      </c>
      <c r="G66">
        <v>4</v>
      </c>
      <c r="H66">
        <v>443.56</v>
      </c>
      <c r="I66">
        <v>1774.24</v>
      </c>
    </row>
    <row r="67" spans="1:9" x14ac:dyDescent="0.3">
      <c r="A67" t="s">
        <v>97</v>
      </c>
      <c r="B67" s="1">
        <v>45957</v>
      </c>
      <c r="C67" t="s">
        <v>21</v>
      </c>
      <c r="D67" t="s">
        <v>22</v>
      </c>
      <c r="E67" t="s">
        <v>12</v>
      </c>
      <c r="F67" t="s">
        <v>16</v>
      </c>
      <c r="G67">
        <v>4</v>
      </c>
      <c r="H67">
        <v>1918.38</v>
      </c>
      <c r="I67">
        <v>7673.52</v>
      </c>
    </row>
    <row r="68" spans="1:9" x14ac:dyDescent="0.3">
      <c r="A68" t="s">
        <v>98</v>
      </c>
      <c r="B68" s="1">
        <v>45872</v>
      </c>
      <c r="C68" t="s">
        <v>18</v>
      </c>
      <c r="D68" t="s">
        <v>11</v>
      </c>
      <c r="E68" t="s">
        <v>27</v>
      </c>
      <c r="F68" t="s">
        <v>28</v>
      </c>
      <c r="G68">
        <v>2</v>
      </c>
      <c r="H68">
        <v>492.77</v>
      </c>
      <c r="I68">
        <v>985.54</v>
      </c>
    </row>
    <row r="69" spans="1:9" x14ac:dyDescent="0.3">
      <c r="A69" t="s">
        <v>99</v>
      </c>
      <c r="B69" s="1">
        <v>46000</v>
      </c>
      <c r="C69" t="s">
        <v>10</v>
      </c>
      <c r="D69" t="s">
        <v>11</v>
      </c>
      <c r="E69" t="s">
        <v>39</v>
      </c>
      <c r="F69" t="s">
        <v>75</v>
      </c>
      <c r="G69">
        <v>2</v>
      </c>
      <c r="H69">
        <v>274.88</v>
      </c>
      <c r="I69">
        <v>549.76</v>
      </c>
    </row>
    <row r="70" spans="1:9" x14ac:dyDescent="0.3">
      <c r="A70" t="s">
        <v>100</v>
      </c>
      <c r="B70" s="1">
        <v>45961</v>
      </c>
      <c r="C70" t="s">
        <v>18</v>
      </c>
      <c r="D70" t="s">
        <v>11</v>
      </c>
      <c r="E70" t="s">
        <v>12</v>
      </c>
      <c r="F70" t="s">
        <v>13</v>
      </c>
      <c r="G70">
        <v>4</v>
      </c>
      <c r="H70">
        <v>592.19000000000005</v>
      </c>
      <c r="I70">
        <v>2368.7600000000002</v>
      </c>
    </row>
    <row r="71" spans="1:9" x14ac:dyDescent="0.3">
      <c r="A71" t="s">
        <v>101</v>
      </c>
      <c r="B71" s="1">
        <v>45852</v>
      </c>
      <c r="C71" t="s">
        <v>18</v>
      </c>
      <c r="D71" t="s">
        <v>22</v>
      </c>
      <c r="E71" t="s">
        <v>30</v>
      </c>
      <c r="F71" t="s">
        <v>31</v>
      </c>
      <c r="G71">
        <v>4</v>
      </c>
      <c r="H71">
        <v>234.4</v>
      </c>
      <c r="I71">
        <v>937.6</v>
      </c>
    </row>
    <row r="72" spans="1:9" x14ac:dyDescent="0.3">
      <c r="A72" t="s">
        <v>102</v>
      </c>
      <c r="B72" s="1">
        <v>45873</v>
      </c>
      <c r="C72" t="s">
        <v>15</v>
      </c>
      <c r="D72" t="s">
        <v>22</v>
      </c>
      <c r="E72" t="s">
        <v>30</v>
      </c>
      <c r="F72" t="s">
        <v>31</v>
      </c>
      <c r="G72">
        <v>4</v>
      </c>
      <c r="H72">
        <v>208.85</v>
      </c>
      <c r="I72">
        <v>835.4</v>
      </c>
    </row>
    <row r="73" spans="1:9" x14ac:dyDescent="0.3">
      <c r="A73" t="s">
        <v>103</v>
      </c>
      <c r="B73" s="1">
        <v>45693</v>
      </c>
      <c r="C73" t="s">
        <v>15</v>
      </c>
      <c r="D73" t="s">
        <v>11</v>
      </c>
      <c r="E73" t="s">
        <v>12</v>
      </c>
      <c r="F73" t="s">
        <v>13</v>
      </c>
      <c r="G73">
        <v>2</v>
      </c>
      <c r="H73">
        <v>619.11</v>
      </c>
      <c r="I73">
        <v>1238.22</v>
      </c>
    </row>
    <row r="74" spans="1:9" x14ac:dyDescent="0.3">
      <c r="A74" t="s">
        <v>104</v>
      </c>
      <c r="B74" s="1">
        <v>45900</v>
      </c>
      <c r="C74" t="s">
        <v>21</v>
      </c>
      <c r="D74" t="s">
        <v>22</v>
      </c>
      <c r="E74" t="s">
        <v>12</v>
      </c>
      <c r="F74" t="s">
        <v>16</v>
      </c>
      <c r="G74">
        <v>2</v>
      </c>
      <c r="H74">
        <v>1686.44</v>
      </c>
      <c r="I74">
        <v>3372.88</v>
      </c>
    </row>
    <row r="75" spans="1:9" x14ac:dyDescent="0.3">
      <c r="A75" t="s">
        <v>105</v>
      </c>
      <c r="B75" s="1">
        <v>45968</v>
      </c>
      <c r="C75" t="s">
        <v>15</v>
      </c>
      <c r="D75" t="s">
        <v>22</v>
      </c>
      <c r="E75" t="s">
        <v>12</v>
      </c>
      <c r="F75" t="s">
        <v>13</v>
      </c>
      <c r="G75">
        <v>3</v>
      </c>
      <c r="H75">
        <v>667.34</v>
      </c>
      <c r="I75">
        <v>2002.02</v>
      </c>
    </row>
    <row r="76" spans="1:9" x14ac:dyDescent="0.3">
      <c r="A76" t="s">
        <v>106</v>
      </c>
      <c r="B76" s="1">
        <v>45850</v>
      </c>
      <c r="C76" t="s">
        <v>10</v>
      </c>
      <c r="D76" t="s">
        <v>11</v>
      </c>
      <c r="E76" t="s">
        <v>39</v>
      </c>
      <c r="F76" t="s">
        <v>75</v>
      </c>
      <c r="G76">
        <v>2</v>
      </c>
      <c r="H76">
        <v>263.35000000000002</v>
      </c>
      <c r="I76">
        <v>526.70000000000005</v>
      </c>
    </row>
    <row r="77" spans="1:9" x14ac:dyDescent="0.3">
      <c r="A77" t="s">
        <v>107</v>
      </c>
      <c r="B77" s="1">
        <v>45812</v>
      </c>
      <c r="C77" t="s">
        <v>18</v>
      </c>
      <c r="D77" t="s">
        <v>22</v>
      </c>
      <c r="E77" t="s">
        <v>12</v>
      </c>
      <c r="F77" t="s">
        <v>16</v>
      </c>
      <c r="G77">
        <v>1</v>
      </c>
      <c r="H77">
        <v>1647.31</v>
      </c>
      <c r="I77">
        <v>1647.31</v>
      </c>
    </row>
    <row r="78" spans="1:9" x14ac:dyDescent="0.3">
      <c r="A78" t="s">
        <v>108</v>
      </c>
      <c r="B78" s="1">
        <v>45989</v>
      </c>
      <c r="C78" t="s">
        <v>15</v>
      </c>
      <c r="D78" t="s">
        <v>22</v>
      </c>
      <c r="E78" t="s">
        <v>30</v>
      </c>
      <c r="F78" t="s">
        <v>31</v>
      </c>
      <c r="G78">
        <v>4</v>
      </c>
      <c r="H78">
        <v>244.5</v>
      </c>
      <c r="I78">
        <v>978</v>
      </c>
    </row>
    <row r="79" spans="1:9" x14ac:dyDescent="0.3">
      <c r="A79" t="s">
        <v>109</v>
      </c>
      <c r="B79" s="1">
        <v>45983</v>
      </c>
      <c r="C79" t="s">
        <v>21</v>
      </c>
      <c r="D79" t="s">
        <v>22</v>
      </c>
      <c r="E79" t="s">
        <v>39</v>
      </c>
      <c r="F79" t="s">
        <v>75</v>
      </c>
      <c r="G79">
        <v>2</v>
      </c>
      <c r="H79">
        <v>250.57</v>
      </c>
      <c r="I79">
        <v>501.14</v>
      </c>
    </row>
    <row r="80" spans="1:9" x14ac:dyDescent="0.3">
      <c r="A80" t="s">
        <v>110</v>
      </c>
      <c r="B80" s="1">
        <v>45961</v>
      </c>
      <c r="C80" t="s">
        <v>15</v>
      </c>
      <c r="D80" t="s">
        <v>22</v>
      </c>
      <c r="E80" t="s">
        <v>30</v>
      </c>
      <c r="F80" t="s">
        <v>46</v>
      </c>
      <c r="G80">
        <v>2</v>
      </c>
      <c r="H80">
        <v>131.28</v>
      </c>
      <c r="I80">
        <v>262.56</v>
      </c>
    </row>
    <row r="81" spans="1:9" x14ac:dyDescent="0.3">
      <c r="A81" t="s">
        <v>111</v>
      </c>
      <c r="B81" s="1">
        <v>45782</v>
      </c>
      <c r="C81" t="s">
        <v>21</v>
      </c>
      <c r="D81" t="s">
        <v>11</v>
      </c>
      <c r="E81" t="s">
        <v>39</v>
      </c>
      <c r="F81" t="s">
        <v>75</v>
      </c>
      <c r="G81">
        <v>5</v>
      </c>
      <c r="H81">
        <v>252.19</v>
      </c>
      <c r="I81">
        <v>1260.95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07F9-A15B-4C9A-9148-A07146A510DB}">
  <dimension ref="A1:B7"/>
  <sheetViews>
    <sheetView workbookViewId="0">
      <selection activeCell="A6" sqref="A6:B6"/>
    </sheetView>
  </sheetViews>
  <sheetFormatPr defaultRowHeight="14.4" x14ac:dyDescent="0.3"/>
  <cols>
    <col min="1" max="1" width="17.88671875" bestFit="1" customWidth="1"/>
    <col min="2" max="2" width="12" bestFit="1" customWidth="1"/>
  </cols>
  <sheetData>
    <row r="1" spans="1:2" x14ac:dyDescent="0.3">
      <c r="A1" t="s">
        <v>117</v>
      </c>
      <c r="B1" t="s">
        <v>118</v>
      </c>
    </row>
    <row r="2" spans="1:2" x14ac:dyDescent="0.3">
      <c r="A2" s="2" t="s">
        <v>112</v>
      </c>
      <c r="B2" s="2"/>
    </row>
    <row r="4" spans="1:2" x14ac:dyDescent="0.3">
      <c r="A4" s="3" t="s">
        <v>113</v>
      </c>
      <c r="B4" s="3">
        <f>SUM(sales_table[Sales])</f>
        <v>198443.58999999997</v>
      </c>
    </row>
    <row r="5" spans="1:2" x14ac:dyDescent="0.3">
      <c r="A5" s="3" t="s">
        <v>114</v>
      </c>
      <c r="B5" s="3">
        <f>COUNTA(sales_table[Order ID])</f>
        <v>80</v>
      </c>
    </row>
    <row r="6" spans="1:2" x14ac:dyDescent="0.3">
      <c r="A6" s="3" t="s">
        <v>115</v>
      </c>
      <c r="B6" s="3">
        <f>SUM(sales_table[Quantity])</f>
        <v>251</v>
      </c>
    </row>
    <row r="7" spans="1:2" x14ac:dyDescent="0.3">
      <c r="A7" s="3" t="s">
        <v>116</v>
      </c>
      <c r="B7" s="3">
        <f>B4/B5</f>
        <v>2480.5448749999996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7CDBD-BA33-416E-9DF5-D867F8747C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Pivot_tables</vt:lpstr>
      <vt:lpstr>Retail_Sales_Data.xlxs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dave</dc:creator>
  <cp:lastModifiedBy>Bhumika dave</cp:lastModifiedBy>
  <dcterms:created xsi:type="dcterms:W3CDTF">2026-10-12T14:17:52Z</dcterms:created>
  <dcterms:modified xsi:type="dcterms:W3CDTF">2026-10-12T18:20:11Z</dcterms:modified>
</cp:coreProperties>
</file>